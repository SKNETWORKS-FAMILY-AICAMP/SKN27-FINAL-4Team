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갠트 차트 템플릿"/>
  </sheets>
  <calcPr fullCalcOnLoad="1"/>
</workbook>
</file>

<file path=xl/sharedStrings.xml><?xml version="1.0" encoding="utf-8"?>
<sst xmlns="http://schemas.openxmlformats.org/spreadsheetml/2006/main" count="365" uniqueCount="226">
  <si>
    <t>WBS</t>
  </si>
  <si>
    <t>Smartsheet 
도움말 ➜</t>
  </si>
  <si>
    <t>갠트 차트의 시각적 타임라인을 사용하면 각 작업의 세부정보는 물론 프로젝트 간의 상호 의존성을 확인할 수 있습니다.</t>
  </si>
  <si>
    <t>프로젝트 이름</t>
  </si>
  <si>
    <t>빈틈사이</t>
  </si>
  <si>
    <t>팀명</t>
  </si>
  <si>
    <t>4team</t>
  </si>
  <si>
    <t>프로젝트 관리자</t>
  </si>
  <si>
    <t>PM 김한솔 · APM 한재웅</t>
  </si>
  <si>
    <t>날짜</t>
  </si>
  <si>
    <t>WBS 번호</t>
  </si>
  <si>
    <t>작업 제목</t>
  </si>
  <si>
    <t>작업 소유자</t>
  </si>
  <si>
    <t>시작일</t>
  </si>
  <si>
    <t>마감일</t>
  </si>
  <si>
    <t>기간</t>
  </si>
  <si>
    <t>작업 완료 비율</t>
  </si>
  <si>
    <t>1단계</t>
  </si>
  <si>
    <t>2단계</t>
  </si>
  <si>
    <t>3단계</t>
  </si>
  <si>
    <t>4단계</t>
  </si>
  <si>
    <t>1주</t>
  </si>
  <si>
    <t>2주</t>
  </si>
  <si>
    <t>3주</t>
  </si>
  <si>
    <t>4주</t>
  </si>
  <si>
    <t>5주</t>
  </si>
  <si>
    <t>6주</t>
  </si>
  <si>
    <t>7주</t>
  </si>
  <si>
    <t>8주</t>
  </si>
  <si>
    <t>9주</t>
  </si>
  <si>
    <t>10주</t>
  </si>
  <si>
    <t>11주</t>
  </si>
  <si>
    <t>12주</t>
  </si>
  <si>
    <t>월</t>
  </si>
  <si>
    <t>화</t>
  </si>
  <si>
    <t>수</t>
  </si>
  <si>
    <t>목</t>
  </si>
  <si>
    <t>금</t>
  </si>
  <si>
    <t>1</t>
  </si>
  <si>
    <t>프로젝트 구상 및 착수</t>
  </si>
  <si>
    <t>1.1</t>
  </si>
  <si>
    <t>[온보딩] 이슈 및 요구사항 정리</t>
  </si>
  <si>
    <t>이성진</t>
  </si>
  <si>
    <t>1.2</t>
  </si>
  <si>
    <t>[온보딩] 메인 화면 요구사항 상세화</t>
  </si>
  <si>
    <t>1.3</t>
  </si>
  <si>
    <t>요구사항 정의서 작성·명세 수립 (전체 기능)</t>
  </si>
  <si>
    <t>김한솔</t>
  </si>
  <si>
    <t>1.4</t>
  </si>
  <si>
    <t>아이디어 빌딩 및 경쟁 앱 분석</t>
  </si>
  <si>
    <t>1.5</t>
  </si>
  <si>
    <t>[온보딩] 로그인/최초 진입 분기 정책 정의</t>
  </si>
  <si>
    <t>1.6</t>
  </si>
  <si>
    <t>[온보딩] 캐릭터 선택 및 페르소나 항목 정의</t>
  </si>
  <si>
    <t>1.7</t>
  </si>
  <si>
    <t>WBS 작성 및 일정 계획 확정</t>
  </si>
  <si>
    <t>1.8</t>
  </si>
  <si>
    <t>화면설계서 와이어프레임(챗봇 흐름)</t>
  </si>
  <si>
    <t>1.9</t>
  </si>
  <si>
    <t>[온보딩] 심리 테스트 문항/결과 유형 정의</t>
  </si>
  <si>
    <t>1.10</t>
  </si>
  <si>
    <t>[온보딩] 운세 계산식/RAG/DB 정책 정의</t>
  </si>
  <si>
    <t>1.11</t>
  </si>
  <si>
    <t>화면설계서 작성(페이지): 방 메뉴·프로필·게시판·설정·관리자</t>
  </si>
  <si>
    <t>한재웅</t>
  </si>
  <si>
    <t>1.12</t>
  </si>
  <si>
    <t>[온보딩] 캘린더 감정/운세 연동 정책 정의</t>
  </si>
  <si>
    <t>2</t>
  </si>
  <si>
    <t>프로젝트 정의 및 계획</t>
  </si>
  <si>
    <t>2.1</t>
  </si>
  <si>
    <t>DB 스키마(PostgreSQL·Neo4j) 설계</t>
  </si>
  <si>
    <t>2.2</t>
  </si>
  <si>
    <t>PostgreSQL DB 생성 및 DDL 적용</t>
  </si>
  <si>
    <t>박송원</t>
  </si>
  <si>
    <t>2.3</t>
  </si>
  <si>
    <t>회원·프로필·설정·차단·탈퇴 데이터 구조 및 DB 설계</t>
  </si>
  <si>
    <t>2.4</t>
  </si>
  <si>
    <t>커뮤니티 게시글·댓글·신고·1:1 채팅 저장 구조 설계</t>
  </si>
  <si>
    <t>2.5</t>
  </si>
  <si>
    <t>[온보딩] 메인/로그인 화면 와이어프레임</t>
  </si>
  <si>
    <t>2.6</t>
  </si>
  <si>
    <t>8종 핵심 데이터셋(감성대화·KOTE 등) 전처리</t>
  </si>
  <si>
    <t>2.7</t>
  </si>
  <si>
    <t>[온보딩] 캐릭터 선택·페르소나 화면 설계</t>
  </si>
  <si>
    <t>2.8</t>
  </si>
  <si>
    <t>BERTopic 모델 환경 구성(스트레스 키워드 추출)</t>
  </si>
  <si>
    <t>2.9</t>
  </si>
  <si>
    <t>대화기록 기반 MBTI/취향 분석 결과 저장 기준 설계</t>
  </si>
  <si>
    <t>2.10</t>
  </si>
  <si>
    <t>LLM 분석 파이프라인·권한·안전/오류 모니터링 아키텍처 설계</t>
  </si>
  <si>
    <t>2.11</t>
  </si>
  <si>
    <t>감정 이상치(Outlier) 탐지 알고리즘 초안(Z-score)</t>
  </si>
  <si>
    <t>2.12</t>
  </si>
  <si>
    <t>[온보딩] 심리 테스트 게임/결과 그래프 화면 설계</t>
  </si>
  <si>
    <t>2.13</t>
  </si>
  <si>
    <t>[온보딩] 캘린더·카드 운세 화면 설계</t>
  </si>
  <si>
    <t>3</t>
  </si>
  <si>
    <t>프로젝트 실행</t>
  </si>
  <si>
    <t>3.1</t>
  </si>
  <si>
    <t>마이페이지 메인 구현(정적 방 일러스트·반응형)</t>
  </si>
  <si>
    <t>3.2</t>
  </si>
  <si>
    <t>프로필 조회 및 리포트 보관함 진입 동선</t>
  </si>
  <si>
    <t>3.3</t>
  </si>
  <si>
    <t>자유게시판 구현(목록·작성·상세·댓글·신고)</t>
  </si>
  <si>
    <t>3.4</t>
  </si>
  <si>
    <t>설정 구현(계정·언어/테마·접근성·세션)</t>
  </si>
  <si>
    <t>3.5</t>
  </si>
  <si>
    <t>리포트/안전 정책 내부 로직 구현(최소조건·1393)</t>
  </si>
  <si>
    <t>3.6</t>
  </si>
  <si>
    <t>감정 점수 산출 모듈 세팅(LLM API)</t>
  </si>
  <si>
    <t>3.7</t>
  </si>
  <si>
    <t>개인 분석 구현(MBTI 성향·취향 그래프)</t>
  </si>
  <si>
    <t>3.8</t>
  </si>
  <si>
    <t>KcELECTRA 감정 분류 모델 학습 및 튜닝</t>
  </si>
  <si>
    <t>3.9</t>
  </si>
  <si>
    <t>사용자간 1:1 웹 채팅 구현</t>
  </si>
  <si>
    <t>3.10</t>
  </si>
  <si>
    <t>마음 리포트 캘린더 조회 API</t>
  </si>
  <si>
    <t>3.11</t>
  </si>
  <si>
    <t>심리이론 RAG 벡터 DB 파이프라인 구축</t>
  </si>
  <si>
    <t>3.12</t>
  </si>
  <si>
    <t>이상치 리포트 상세 조회 API</t>
  </si>
  <si>
    <t>3.13</t>
  </si>
  <si>
    <t>차단 사용자 관리 및 계정 탈퇴·데이터 삭제 흐름</t>
  </si>
  <si>
    <t>3.14</t>
  </si>
  <si>
    <t>대화 발췌(근거 데이터) 프롬프트 튜닝</t>
  </si>
  <si>
    <t>3.15</t>
  </si>
  <si>
    <t>차(Tea) 추천 Neo4j 데이터 적재 파이프라인</t>
  </si>
  <si>
    <t>3.16</t>
  </si>
  <si>
    <t>맞춤형 솔루션 자동 생성 프롬프팅 적용</t>
  </si>
  <si>
    <t>3.17</t>
  </si>
  <si>
    <t>[온보딩] 소셜 로그인·온보딩 분기 개발</t>
  </si>
  <si>
    <t>3.18</t>
  </si>
  <si>
    <t>[온보딩] 사용자/페르소나/관심 키워드 저장 개발</t>
  </si>
  <si>
    <t>3.19</t>
  </si>
  <si>
    <t>마음 리포트 캘린더 퍼블리싱</t>
  </si>
  <si>
    <t>3.20</t>
  </si>
  <si>
    <t>LangGraph 3인 캐릭터 이너카운슬 구현</t>
  </si>
  <si>
    <t>3.21</t>
  </si>
  <si>
    <t>캘린더 API 연동 및 이모지 바인딩</t>
  </si>
  <si>
    <t>3.22</t>
  </si>
  <si>
    <t>관리자 회원 관리 구현(목록·검색·마스킹)</t>
  </si>
  <si>
    <t>3.23</t>
  </si>
  <si>
    <t>계정 상태·탈퇴 처리 및 관리자 작업 이력 기록</t>
  </si>
  <si>
    <t>3.24</t>
  </si>
  <si>
    <t>LLM 개인 분석·추천/리포트 결과 연동</t>
  </si>
  <si>
    <t>3.25</t>
  </si>
  <si>
    <t>[온보딩] 메인 화면·캐릭터 인터랙션 개발</t>
  </si>
  <si>
    <t>3.26</t>
  </si>
  <si>
    <t>리포트 상세 페이지 UI 개발</t>
  </si>
  <si>
    <t>3.27</t>
  </si>
  <si>
    <t>[온보딩] 심리 테스트 게임·결과 그래프 개발</t>
  </si>
  <si>
    <t>3.28</t>
  </si>
  <si>
    <t>전문센터 연계 팝업 적용(고위험군 배너)</t>
  </si>
  <si>
    <t>3.29</t>
  </si>
  <si>
    <t>시크릿챗 개인정보 완전 파기 구현</t>
  </si>
  <si>
    <t>3.30</t>
  </si>
  <si>
    <t>[온보딩] 캘린더 감정/운세 저장 연동 개발</t>
  </si>
  <si>
    <t>3.31</t>
  </si>
  <si>
    <t>안전 이벤트·오류 현황 모니터링 구현</t>
  </si>
  <si>
    <t>3.32</t>
  </si>
  <si>
    <t>FE/BE 데이터 통신 통합 및 디버깅</t>
  </si>
  <si>
    <t>3.34</t>
  </si>
  <si>
    <t>리포트 캡처 및 다운로드 기능(html2canvas)</t>
  </si>
  <si>
    <t>3.35</t>
  </si>
  <si>
    <t>커뮤니티 신고 내역 확인 및 숨김/반려 처리</t>
  </si>
  <si>
    <t>3.36</t>
  </si>
  <si>
    <t>외부 채널 공유 기능 연동(SNS/카카오톡)</t>
  </si>
  <si>
    <t>3.37</t>
  </si>
  <si>
    <t>Django 백엔드 API &amp; Neo4j Cypher 통합</t>
  </si>
  <si>
    <t>3.38</t>
  </si>
  <si>
    <t>[온보딩] 운세 계산식/RAG/LLM·카드 운세 개발</t>
  </si>
  <si>
    <t>3.39</t>
  </si>
  <si>
    <t>반응형 뷰 크로스 브라우징 확인</t>
  </si>
  <si>
    <t>3.40</t>
  </si>
  <si>
    <t>운세·결과카드·공지·점검 안내 관리 구현</t>
  </si>
  <si>
    <t>3.41</t>
  </si>
  <si>
    <t>반응형 프런트엔드 UI 화면 개발(Markdown 지원)</t>
  </si>
  <si>
    <t>3.42</t>
  </si>
  <si>
    <t>LLM 연동 웹앱 통합 및 최종 QA</t>
  </si>
  <si>
    <t>4</t>
  </si>
  <si>
    <t>프로젝트 성과/모니터링</t>
  </si>
  <si>
    <t>4.1</t>
  </si>
  <si>
    <t>1차 통합 점검 및 중간 발표 PPT 준비</t>
  </si>
  <si>
    <t>4.2</t>
  </si>
  <si>
    <t>1차 주요 대화 경로 시연 준비</t>
  </si>
  <si>
    <t>4.3</t>
  </si>
  <si>
    <t>시스템 구성도 작성 및 서비스 테스트 계획·결과 보고서</t>
  </si>
  <si>
    <t>4.4</t>
  </si>
  <si>
    <t>엣지 케이스 및 예외 처리 QA</t>
  </si>
  <si>
    <t>4.5</t>
  </si>
  <si>
    <t>ML 분석 결과 객관성 최종 검수</t>
  </si>
  <si>
    <t>4.6</t>
  </si>
  <si>
    <t>[온보딩] API/화면 통합 테스트</t>
  </si>
  <si>
    <t>4.7</t>
  </si>
  <si>
    <t>[온보딩] 운세 만료·비로그인 예외·데이터 검증</t>
  </si>
  <si>
    <t>4.8</t>
  </si>
  <si>
    <t>사용자 타당성(Feasibility) 및 설문 분석</t>
  </si>
  <si>
    <t>4.9</t>
  </si>
  <si>
    <t>[온보딩] UI/반응형/접근성 QA</t>
  </si>
  <si>
    <t>5</t>
  </si>
  <si>
    <t>프로젝트 종료</t>
  </si>
  <si>
    <t>5.1</t>
  </si>
  <si>
    <t>최종 버그 픽스 및 운영 환경 점검</t>
  </si>
  <si>
    <t>5.2</t>
  </si>
  <si>
    <t>최종 배포 (AWS 운영 서버)</t>
  </si>
  <si>
    <t>5.3</t>
  </si>
  <si>
    <t>최종 발표 PPT·시연 시나리오 정리</t>
  </si>
  <si>
    <t>5.4</t>
  </si>
  <si>
    <t>[온보딩] 최종 산출물 정리 및 정합성 점검</t>
  </si>
  <si>
    <t>5.5</t>
  </si>
  <si>
    <t>발표 자료(PPTX) 작성</t>
  </si>
  <si>
    <t>5.6</t>
  </si>
  <si>
    <t>최종 소스코드 정리 및 제출</t>
  </si>
  <si>
    <t>전체</t>
  </si>
  <si>
    <t>5.7</t>
  </si>
  <si>
    <t>시연영상 제작 및 최종 발표 대응</t>
  </si>
  <si>
    <t>M1</t>
  </si>
  <si>
    <t>중간 발표 PPT</t>
  </si>
  <si>
    <t>◆</t>
  </si>
  <si>
    <t>M2</t>
  </si>
  <si>
    <t>1차 개발 완료</t>
  </si>
  <si>
    <t>M3</t>
  </si>
  <si>
    <t>최종 발표 PPT</t>
  </si>
  <si>
    <t>M4</t>
  </si>
  <si>
    <t>최종 발표·소스·영상 제출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</si>
</sst>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yy년 m월 d일"/>
    <numFmt numFmtId="165" formatCode="#,##0%"/>
    <numFmt numFmtId="166" formatCode="yyyy-mm-dd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Poppins"/>
      <family val="2"/>
    </font>
    <font>
      <sz val="30"/>
      <color rgb="FF0b5394"/>
      <name val="Poppins"/>
      <family val="2"/>
    </font>
    <font>
      <sz val="11"/>
      <color rgb="FF0b5394"/>
      <name val="Poppins"/>
      <family val="2"/>
    </font>
    <font>
      <sz val="11"/>
      <color rgb="FF000000"/>
      <name val="Poppins"/>
      <family val="2"/>
    </font>
    <font>
      <sz val="11"/>
      <color rgb="FFffffff"/>
      <name val="Poppins"/>
      <family val="2"/>
    </font>
    <font>
      <sz val="30"/>
      <color rgb="FF0b5394"/>
      <name val="Roboto"/>
      <family val="2"/>
    </font>
    <font>
      <sz val="11"/>
      <color theme="1"/>
      <name val="Calibri"/>
      <family val="2"/>
    </font>
    <font>
      <sz val="32"/>
      <color rgb="FF0b5394"/>
      <name val="Roboto"/>
      <family val="2"/>
    </font>
    <font>
      <sz val="12"/>
      <color rgb="FF0b5394"/>
      <name val="Roboto"/>
      <family val="2"/>
    </font>
    <font>
      <sz val="12"/>
      <color rgb="FF0b5394"/>
      <name val="Noto Sans CJK SC"/>
      <family val="2"/>
    </font>
    <font>
      <sz val="12"/>
      <color rgb="FF000000"/>
      <name val="Poppins"/>
      <family val="2"/>
    </font>
    <font>
      <sz val="11"/>
      <color rgb="FF434343"/>
      <name val="Poppins"/>
      <family val="2"/>
    </font>
    <font>
      <sz val="11"/>
      <color rgb="FF000000"/>
      <name val="Century Gothic"/>
      <family val="2"/>
    </font>
    <font>
      <sz val="11"/>
      <color theme="1"/>
      <name val="Century Gothic"/>
      <family val="2"/>
    </font>
    <font>
      <sz val="10"/>
      <color rgb="FF666666"/>
      <name val="Noto Sans CJK SC"/>
      <family val="2"/>
    </font>
    <font>
      <sz val="10"/>
      <color rgb="FF999999"/>
      <name val="Noto Sans CJK SC"/>
      <family val="2"/>
    </font>
    <font>
      <sz val="10"/>
      <color rgb="FF999999"/>
      <name val="Roboto"/>
      <family val="2"/>
    </font>
    <font>
      <sz val="11"/>
      <color theme="1"/>
      <name val="Roboto"/>
      <family val="2"/>
    </font>
    <font>
      <sz val="11"/>
      <color rgb="FF000000"/>
      <name val="Roboto"/>
      <family val="2"/>
    </font>
    <font>
      <sz val="8"/>
      <color rgb="FF000000"/>
      <name val="Roboto"/>
      <family val="2"/>
    </font>
    <font>
      <sz val="8"/>
      <color rgb="FF000000"/>
      <name val="Noto Sans CJK SC"/>
      <family val="2"/>
    </font>
    <font>
      <sz val="9"/>
      <color rgb="FFffffff"/>
      <name val="Roboto"/>
      <family val="2"/>
    </font>
    <font>
      <sz val="8"/>
      <color theme="1"/>
      <name val="Roboto"/>
      <family val="2"/>
    </font>
    <font>
      <sz val="9"/>
      <color theme="1"/>
      <name val="Roboto"/>
      <family val="2"/>
    </font>
    <font>
      <sz val="9"/>
      <color rgb="FF000000"/>
      <name val="Noto Sans CJK SC"/>
      <family val="2"/>
    </font>
    <font>
      <b/>
      <sz val="11"/>
      <color theme="1"/>
      <name val="Roboto"/>
      <family val="2"/>
    </font>
    <font>
      <sz val="11"/>
      <color theme="1"/>
      <name val="Noto Sans CJK SC"/>
      <family val="2"/>
    </font>
    <font>
      <sz val="10"/>
      <color theme="1"/>
      <name val="Roboto"/>
      <family val="2"/>
    </font>
    <font>
      <sz val="10"/>
      <color theme="1"/>
      <name val="Noto Sans CJK SC"/>
      <family val="2"/>
    </font>
    <font>
      <sz val="10"/>
      <color rgb="FF000000"/>
      <name val="Roboto"/>
      <family val="2"/>
    </font>
    <font>
      <sz val="11"/>
      <color theme="1"/>
      <name val="Arial"/>
      <family val="2"/>
    </font>
    <font>
      <sz val="10"/>
      <color rgb="FFc00000"/>
      <name val="Roboto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  <fill>
      <patternFill patternType="solid">
        <fgColor rgb="FF0b5394"/>
      </patternFill>
    </fill>
    <fill>
      <patternFill patternType="solid">
        <fgColor rgb="FF45818e"/>
      </patternFill>
    </fill>
    <fill>
      <patternFill patternType="solid">
        <fgColor rgb="FF833c0c"/>
      </patternFill>
    </fill>
    <fill>
      <patternFill patternType="solid">
        <fgColor rgb="FF806000"/>
      </patternFill>
    </fill>
    <fill>
      <patternFill patternType="solid">
        <fgColor rgb="FF2f75b5"/>
      </patternFill>
    </fill>
    <fill>
      <patternFill patternType="solid">
        <fgColor rgb="FFa2c4c9"/>
      </patternFill>
    </fill>
    <fill>
      <patternFill patternType="solid">
        <fgColor rgb="FFc65911"/>
      </patternFill>
    </fill>
    <fill>
      <patternFill patternType="solid">
        <fgColor rgb="FFbf8f00"/>
      </patternFill>
    </fill>
    <fill>
      <patternFill patternType="solid">
        <fgColor rgb="FFbdd7ee"/>
      </patternFill>
    </fill>
    <fill>
      <patternFill patternType="solid">
        <fgColor rgb="FFd0e0e3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cccccc"/>
      </patternFill>
    </fill>
    <fill>
      <patternFill patternType="solid">
        <fgColor rgb="FF5b9bd5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ck">
        <color rgb="FF0b5394"/>
      </bottom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d9d9d9"/>
      </bottom>
      <diagonal/>
    </border>
    <border>
      <left style="thin">
        <color rgb="FFb7b7b7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b7b7b7"/>
      </left>
      <right style="thin">
        <color rgb="FFcccccc"/>
      </right>
      <top style="thin">
        <color rgb="FFc6c6c6"/>
      </top>
      <bottom style="thin">
        <color rgb="FFc6c6c6"/>
      </bottom>
      <diagonal/>
    </border>
    <border>
      <left/>
      <right style="thin">
        <color rgb="FFcccccc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dotted">
        <color rgb="FFb7b7b7"/>
      </right>
      <top/>
      <bottom style="dotted">
        <color rgb="FFb7b7b7"/>
      </bottom>
      <diagonal/>
    </border>
    <border>
      <left style="dotted">
        <color rgb="FFb7b7b7"/>
      </left>
      <right style="dotted">
        <color rgb="FFb7b7b7"/>
      </right>
      <top/>
      <bottom style="dotted">
        <color rgb="FFb7b7b7"/>
      </bottom>
      <diagonal/>
    </border>
    <border>
      <left style="dotted">
        <color rgb="FFb7b7b7"/>
      </left>
      <right style="dotted">
        <color rgb="FFb7b7b7"/>
      </right>
      <top style="thin">
        <color rgb="FFc6c6c6"/>
      </top>
      <bottom style="dotted">
        <color rgb="FFb7b7b7"/>
      </bottom>
      <diagonal/>
    </border>
    <border>
      <left style="dotted">
        <color rgb="FFb7b7b7"/>
      </left>
      <right style="thin">
        <color rgb="FFb7b7b7"/>
      </right>
      <top/>
      <bottom style="dotted">
        <color rgb="FFb7b7b7"/>
      </bottom>
      <diagonal/>
    </border>
    <border>
      <left style="thin">
        <color rgb="FFb7b7b7"/>
      </left>
      <right style="dotted">
        <color rgb="FFb7b7b7"/>
      </right>
      <top style="dotted">
        <color rgb="FFb7b7b7"/>
      </top>
      <bottom style="dotted">
        <color rgb="FFb7b7b7"/>
      </bottom>
      <diagonal/>
    </border>
    <border>
      <left style="dotted">
        <color rgb="FFb7b7b7"/>
      </left>
      <right style="dotted">
        <color rgb="FFb7b7b7"/>
      </right>
      <top style="dotted">
        <color rgb="FFb7b7b7"/>
      </top>
      <bottom style="dotted">
        <color rgb="FFb7b7b7"/>
      </bottom>
      <diagonal/>
    </border>
    <border>
      <left style="dotted">
        <color rgb="FFb7b7b7"/>
      </left>
      <right style="thin">
        <color rgb="FFb7b7b7"/>
      </right>
      <top style="dotted">
        <color rgb="FFb7b7b7"/>
      </top>
      <bottom style="dotted">
        <color rgb="FFb7b7b7"/>
      </bottom>
      <diagonal/>
    </border>
    <border>
      <left style="thin">
        <color rgb="FFb7b7b7"/>
      </left>
      <right style="dotted">
        <color rgb="FFb7b7b7"/>
      </right>
      <top style="dotted">
        <color rgb="FFb7b7b7"/>
      </top>
      <bottom/>
      <diagonal/>
    </border>
    <border>
      <left style="dotted">
        <color rgb="FFb7b7b7"/>
      </left>
      <right style="dotted">
        <color rgb="FFb7b7b7"/>
      </right>
      <top style="dotted">
        <color rgb="FFb7b7b7"/>
      </top>
      <bottom/>
      <diagonal/>
    </border>
    <border>
      <left style="dotted">
        <color rgb="FFb7b7b7"/>
      </left>
      <right style="dotted">
        <color rgb="FFb7b7b7"/>
      </right>
      <top style="dotted">
        <color rgb="FFb7b7b7"/>
      </top>
      <bottom style="thin">
        <color rgb="FFc6c6c6"/>
      </bottom>
      <diagonal/>
    </border>
    <border>
      <left style="dotted">
        <color rgb="FFb7b7b7"/>
      </left>
      <right style="thin">
        <color rgb="FFb7b7b7"/>
      </right>
      <top style="dotted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 style="dotted">
        <color rgb="FFb7b7b7"/>
      </right>
      <top style="dotted">
        <color rgb="FFb7b7b7"/>
      </top>
      <bottom style="dotted">
        <color rgb="FFb7b7b7"/>
      </bottom>
      <diagonal/>
    </border>
  </borders>
  <cellStyleXfs count="1">
    <xf numFmtId="0" fontId="0" fillId="0" borderId="0"/>
  </cellStyleXfs>
  <cellXfs count="160">
    <xf xfId="0" numFmtId="0" borderId="0" fontId="0" fillId="0"/>
    <xf xfId="0" numFmtId="0" borderId="1" applyBorder="1" fontId="1" applyFont="1" fillId="0" applyAlignment="1">
      <alignment horizontal="left" indent="1"/>
    </xf>
    <xf xfId="0" numFmtId="0" borderId="2" applyBorder="1" fontId="2" applyFont="1" fillId="2" applyFill="1" applyAlignment="1">
      <alignment horizontal="left"/>
    </xf>
    <xf xfId="0" numFmtId="0" borderId="2" applyBorder="1" fontId="3" applyFont="1" fillId="2" applyFill="1" applyAlignment="1">
      <alignment horizontal="left"/>
    </xf>
    <xf xfId="0" numFmtId="164" applyNumberFormat="1" borderId="2" applyBorder="1" fontId="3" applyFont="1" fillId="2" applyFill="1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165" applyNumberFormat="1" borderId="2" applyBorder="1" fontId="3" applyFont="1" fillId="2" applyFill="1" applyAlignment="1">
      <alignment horizontal="left"/>
    </xf>
    <xf xfId="0" numFmtId="0" borderId="2" applyBorder="1" fontId="3" applyFont="1" fillId="2" applyFill="1" applyAlignment="1">
      <alignment horizontal="center"/>
    </xf>
    <xf xfId="0" numFmtId="0" borderId="2" applyBorder="1" fontId="4" applyFont="1" fillId="2" applyFill="1" applyAlignment="1">
      <alignment horizontal="center"/>
    </xf>
    <xf xfId="0" numFmtId="0" borderId="2" applyBorder="1" fontId="4" applyFont="1" fillId="2" applyFill="1" applyAlignment="1">
      <alignment horizontal="left"/>
    </xf>
    <xf xfId="0" numFmtId="0" borderId="1" applyBorder="1" fontId="4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166" applyNumberFormat="1" borderId="1" applyBorder="1" fontId="1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3" applyBorder="1" fontId="6" applyFont="1" fillId="2" applyFill="1" applyAlignment="1">
      <alignment horizontal="left"/>
    </xf>
    <xf xfId="0" numFmtId="0" borderId="4" applyBorder="1" fontId="7" applyFont="1" fillId="0" applyAlignment="1">
      <alignment horizontal="left"/>
    </xf>
    <xf xfId="0" numFmtId="164" applyNumberFormat="1" borderId="4" applyBorder="1" fontId="7" applyFont="1" fillId="0" applyAlignment="1">
      <alignment horizontal="left"/>
    </xf>
    <xf xfId="0" numFmtId="3" applyNumberFormat="1" borderId="4" applyBorder="1" fontId="7" applyFont="1" fillId="0" applyAlignment="1">
      <alignment horizontal="left"/>
    </xf>
    <xf xfId="0" numFmtId="165" applyNumberFormat="1" borderId="3" applyBorder="1" fontId="8" applyFont="1" fillId="2" applyFill="1" applyAlignment="1">
      <alignment horizontal="left"/>
    </xf>
    <xf xfId="0" numFmtId="0" borderId="3" applyBorder="1" fontId="9" applyFont="1" fillId="2" applyFill="1" applyAlignment="1">
      <alignment horizontal="left" wrapText="1"/>
    </xf>
    <xf xfId="0" numFmtId="0" borderId="3" applyBorder="1" fontId="10" applyFont="1" fillId="2" applyFill="1" applyAlignment="1">
      <alignment horizontal="left" wrapText="1"/>
    </xf>
    <xf xfId="0" numFmtId="166" applyNumberFormat="1" borderId="4" applyBorder="1" fontId="7" applyFont="1" fillId="0" applyAlignment="1">
      <alignment horizontal="left"/>
    </xf>
    <xf xfId="0" numFmtId="0" borderId="2" applyBorder="1" fontId="11" applyFont="1" fillId="2" applyFill="1" applyAlignment="1">
      <alignment horizontal="left"/>
    </xf>
    <xf xfId="0" numFmtId="0" borderId="1" applyBorder="1" fontId="12" applyFont="1" fillId="0" applyAlignment="1">
      <alignment horizontal="left"/>
    </xf>
    <xf xfId="0" numFmtId="0" borderId="2" applyBorder="1" fontId="12" applyFont="1" fillId="2" applyFill="1" applyAlignment="1">
      <alignment horizontal="left"/>
    </xf>
    <xf xfId="0" numFmtId="164" applyNumberFormat="1" borderId="2" applyBorder="1" fontId="12" applyFont="1" fillId="2" applyFill="1" applyAlignment="1">
      <alignment horizontal="left"/>
    </xf>
    <xf xfId="0" numFmtId="3" applyNumberFormat="1" borderId="2" applyBorder="1" fontId="12" applyFont="1" fillId="2" applyFill="1" applyAlignment="1">
      <alignment horizontal="left"/>
    </xf>
    <xf xfId="0" numFmtId="165" applyNumberFormat="1" borderId="2" applyBorder="1" fontId="12" applyFont="1" fillId="2" applyFill="1" applyAlignment="1">
      <alignment horizontal="left"/>
    </xf>
    <xf xfId="0" numFmtId="0" borderId="2" applyBorder="1" fontId="13" applyFont="1" fillId="2" applyFill="1" applyAlignment="1">
      <alignment horizontal="left"/>
    </xf>
    <xf xfId="0" numFmtId="0" borderId="1" applyBorder="1" fontId="14" applyFont="1" fillId="0" applyAlignment="1">
      <alignment horizontal="left"/>
    </xf>
    <xf xfId="0" numFmtId="0" borderId="5" applyBorder="1" fontId="15" applyFont="1" fillId="0" applyAlignment="1">
      <alignment horizontal="left"/>
    </xf>
    <xf xfId="0" numFmtId="0" borderId="5" applyBorder="1" fontId="7" applyFont="1" fillId="0" applyAlignment="1">
      <alignment horizontal="left"/>
    </xf>
    <xf xfId="0" numFmtId="0" borderId="6" applyBorder="1" fontId="16" applyFont="1" fillId="2" applyFill="1" applyAlignment="1">
      <alignment horizontal="left"/>
    </xf>
    <xf xfId="0" numFmtId="164" applyNumberFormat="1" borderId="5" applyBorder="1" fontId="7" applyFont="1" fillId="0" applyAlignment="1">
      <alignment horizontal="left"/>
    </xf>
    <xf xfId="0" numFmtId="3" applyNumberFormat="1" borderId="5" applyBorder="1" fontId="7" applyFont="1" fillId="0" applyAlignment="1">
      <alignment horizontal="left"/>
    </xf>
    <xf xfId="0" numFmtId="165" applyNumberFormat="1" borderId="2" applyBorder="1" fontId="17" applyFont="1" fillId="2" applyFill="1" applyAlignment="1">
      <alignment horizontal="left"/>
    </xf>
    <xf xfId="0" numFmtId="166" applyNumberFormat="1" borderId="5" applyBorder="1" fontId="17" applyFont="1" fillId="0" applyAlignment="1">
      <alignment horizontal="left"/>
    </xf>
    <xf xfId="0" numFmtId="0" borderId="5" applyBorder="1" fontId="17" applyFont="1" fillId="0" applyAlignment="1">
      <alignment horizontal="left"/>
    </xf>
    <xf xfId="0" numFmtId="165" applyNumberFormat="1" borderId="1" applyBorder="1" fontId="17" applyFont="1" fillId="0" applyAlignment="1">
      <alignment horizontal="left"/>
    </xf>
    <xf xfId="0" numFmtId="0" borderId="1" applyBorder="1" fontId="18" applyFont="1" fillId="0" applyAlignment="1">
      <alignment horizontal="left" indent="1"/>
    </xf>
    <xf xfId="0" numFmtId="0" borderId="2" applyBorder="1" fontId="19" applyFont="1" fillId="2" applyFill="1" applyAlignment="1">
      <alignment horizontal="left"/>
    </xf>
    <xf xfId="0" numFmtId="164" applyNumberFormat="1" borderId="2" applyBorder="1" fontId="19" applyFont="1" fillId="2" applyFill="1" applyAlignment="1">
      <alignment horizontal="left"/>
    </xf>
    <xf xfId="0" numFmtId="3" applyNumberFormat="1" borderId="2" applyBorder="1" fontId="19" applyFont="1" fillId="2" applyFill="1" applyAlignment="1">
      <alignment horizontal="center"/>
    </xf>
    <xf xfId="0" numFmtId="165" applyNumberFormat="1" borderId="2" applyBorder="1" fontId="19" applyFont="1" fillId="2" applyFill="1" applyAlignment="1">
      <alignment horizontal="center"/>
    </xf>
    <xf xfId="0" numFmtId="0" borderId="1" applyBorder="1" fontId="18" applyFont="1" fillId="0" applyAlignment="1">
      <alignment horizontal="left"/>
    </xf>
    <xf xfId="0" numFmtId="166" applyNumberFormat="1" borderId="1" applyBorder="1" fontId="18" applyFont="1" fillId="0" applyAlignment="1">
      <alignment horizontal="left"/>
    </xf>
    <xf xfId="0" numFmtId="0" borderId="1" applyBorder="1" fontId="19" applyFont="1" fillId="0" applyAlignment="1">
      <alignment horizontal="left" indent="1"/>
    </xf>
    <xf xfId="0" numFmtId="0" borderId="2" applyBorder="1" fontId="20" applyFont="1" fillId="3" applyFill="1" applyAlignment="1">
      <alignment horizontal="center" vertical="top" wrapText="1"/>
    </xf>
    <xf xfId="0" numFmtId="0" borderId="2" applyBorder="1" fontId="21" applyFont="1" fillId="3" applyFill="1" applyAlignment="1">
      <alignment horizontal="center" vertical="top" wrapText="1"/>
    </xf>
    <xf xfId="0" numFmtId="164" applyNumberFormat="1" borderId="2" applyBorder="1" fontId="21" applyFont="1" fillId="3" applyFill="1" applyAlignment="1">
      <alignment horizontal="center" vertical="top" wrapText="1"/>
    </xf>
    <xf xfId="0" numFmtId="3" applyNumberFormat="1" borderId="2" applyBorder="1" fontId="21" applyFont="1" fillId="3" applyFill="1" applyAlignment="1">
      <alignment horizontal="center" vertical="top" wrapText="1"/>
    </xf>
    <xf xfId="0" numFmtId="165" applyNumberFormat="1" borderId="2" applyBorder="1" fontId="21" applyFont="1" fillId="3" applyFill="1" applyAlignment="1">
      <alignment horizontal="center" vertical="top" wrapText="1"/>
    </xf>
    <xf xfId="0" numFmtId="0" borderId="7" applyBorder="1" fontId="22" applyFont="1" fillId="4" applyFill="1" applyAlignment="1">
      <alignment horizontal="center"/>
    </xf>
    <xf xfId="0" numFmtId="0" borderId="0" fontId="0" fillId="0" applyAlignment="1">
      <alignment horizontal="general"/>
    </xf>
    <xf xfId="0" numFmtId="166" applyNumberFormat="1" borderId="0" fontId="0" fillId="0" applyAlignment="1">
      <alignment horizontal="general"/>
    </xf>
    <xf xfId="0" numFmtId="0" borderId="7" applyBorder="1" fontId="22" applyFont="1" fillId="5" applyFill="1" applyAlignment="1">
      <alignment horizontal="center"/>
    </xf>
    <xf xfId="0" numFmtId="0" borderId="7" applyBorder="1" fontId="22" applyFont="1" fillId="6" applyFill="1" applyAlignment="1">
      <alignment horizontal="center"/>
    </xf>
    <xf xfId="0" numFmtId="0" borderId="8" applyBorder="1" fontId="22" applyFont="1" fillId="7" applyFill="1" applyAlignment="1">
      <alignment horizontal="center"/>
    </xf>
    <xf xfId="0" numFmtId="0" borderId="9" applyBorder="1" fontId="7" applyFont="1" fillId="0" applyAlignment="1">
      <alignment horizontal="left"/>
    </xf>
    <xf xfId="0" numFmtId="0" borderId="1" applyBorder="1" fontId="23" applyFont="1" fillId="0" applyAlignment="1">
      <alignment horizontal="left" indent="1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0" borderId="10" applyBorder="1" fontId="22" applyFont="1" fillId="8" applyFill="1" applyAlignment="1">
      <alignment horizontal="center"/>
    </xf>
    <xf xfId="0" numFmtId="0" borderId="11" applyBorder="1" fontId="7" applyFont="1" fillId="0" applyAlignment="1">
      <alignment horizontal="left"/>
    </xf>
    <xf xfId="0" numFmtId="0" borderId="12" applyBorder="1" fontId="7" applyFont="1" fillId="0" applyAlignment="1">
      <alignment horizontal="left"/>
    </xf>
    <xf xfId="0" numFmtId="166" applyNumberFormat="1" borderId="11" applyBorder="1" fontId="7" applyFont="1" fillId="0" applyAlignment="1">
      <alignment horizontal="left"/>
    </xf>
    <xf xfId="0" numFmtId="0" borderId="10" applyBorder="1" fontId="22" applyFont="1" fillId="9" applyFill="1" applyAlignment="1">
      <alignment horizontal="center"/>
    </xf>
    <xf xfId="0" numFmtId="0" borderId="10" applyBorder="1" fontId="22" applyFont="1" fillId="10" applyFill="1" applyAlignment="1">
      <alignment horizontal="center"/>
    </xf>
    <xf xfId="0" numFmtId="0" borderId="10" applyBorder="1" fontId="22" applyFont="1" fillId="11" applyFill="1" applyAlignment="1">
      <alignment horizontal="center"/>
    </xf>
    <xf xfId="0" numFmtId="0" borderId="1" applyBorder="1" fontId="23" applyFont="1" fillId="0" applyAlignment="1">
      <alignment horizontal="left"/>
    </xf>
    <xf xfId="0" numFmtId="0" borderId="1" applyBorder="1" fontId="24" applyFont="1" fillId="0" applyAlignment="1">
      <alignment horizontal="left" indent="1"/>
    </xf>
    <xf xfId="0" numFmtId="0" borderId="13" applyBorder="1" fontId="25" applyFont="1" fillId="12" applyFill="1" applyAlignment="1">
      <alignment horizontal="center"/>
    </xf>
    <xf xfId="0" numFmtId="166" applyNumberFormat="1" borderId="13" applyBorder="1" fontId="25" applyFont="1" fillId="12" applyFill="1" applyAlignment="1">
      <alignment horizontal="center"/>
    </xf>
    <xf xfId="0" numFmtId="0" borderId="13" applyBorder="1" fontId="25" applyFont="1" fillId="13" applyFill="1" applyAlignment="1">
      <alignment horizontal="center"/>
    </xf>
    <xf xfId="0" numFmtId="0" borderId="13" applyBorder="1" fontId="25" applyFont="1" fillId="14" applyFill="1" applyAlignment="1">
      <alignment horizontal="center"/>
    </xf>
    <xf xfId="0" numFmtId="0" borderId="13" applyBorder="1" fontId="25" applyFont="1" fillId="15" applyFill="1" applyAlignment="1">
      <alignment horizontal="center"/>
    </xf>
    <xf xfId="0" numFmtId="0" borderId="1" applyBorder="1" fontId="24" applyFont="1" fillId="0" applyAlignment="1">
      <alignment horizontal="left"/>
    </xf>
    <xf xfId="0" numFmtId="0" borderId="1" applyBorder="1" fontId="26" applyFont="1" fillId="0" applyAlignment="1">
      <alignment horizontal="left"/>
    </xf>
    <xf xfId="0" numFmtId="0" borderId="14" applyBorder="1" fontId="18" applyFont="1" fillId="16" applyFill="1" applyAlignment="1">
      <alignment horizontal="left"/>
    </xf>
    <xf xfId="0" numFmtId="0" borderId="14" applyBorder="1" fontId="27" applyFont="1" fillId="16" applyFill="1" applyAlignment="1">
      <alignment horizontal="left"/>
    </xf>
    <xf xfId="0" numFmtId="0" borderId="14" applyBorder="1" fontId="19" applyFont="1" fillId="16" applyFill="1" applyAlignment="1">
      <alignment horizontal="left" wrapText="1"/>
    </xf>
    <xf xfId="0" numFmtId="164" applyNumberFormat="1" borderId="14" applyBorder="1" fontId="19" applyFont="1" fillId="16" applyFill="1" applyAlignment="1">
      <alignment horizontal="left" wrapText="1"/>
    </xf>
    <xf xfId="0" numFmtId="3" applyNumberFormat="1" borderId="14" applyBorder="1" fontId="19" applyFont="1" fillId="16" applyFill="1" applyAlignment="1">
      <alignment horizontal="left" wrapText="1"/>
    </xf>
    <xf xfId="0" numFmtId="165" applyNumberFormat="1" borderId="14" applyBorder="1" fontId="19" applyFont="1" fillId="16" applyFill="1" applyAlignment="1">
      <alignment horizontal="left" wrapText="1"/>
    </xf>
    <xf xfId="0" numFmtId="0" borderId="2" applyBorder="1" fontId="19" applyFont="1" fillId="16" applyFill="1" applyAlignment="1">
      <alignment horizontal="center"/>
    </xf>
    <xf xfId="0" numFmtId="7" applyNumberFormat="1" borderId="2" applyBorder="1" fontId="19" applyFont="1" fillId="16" applyFill="1" applyAlignment="1">
      <alignment horizontal="center"/>
    </xf>
    <xf xfId="0" numFmtId="3" applyNumberFormat="1" borderId="2" applyBorder="1" fontId="19" applyFont="1" fillId="16" applyFill="1" applyAlignment="1">
      <alignment horizontal="center"/>
    </xf>
    <xf xfId="0" numFmtId="166" applyNumberFormat="1" borderId="2" applyBorder="1" fontId="19" applyFont="1" fillId="16" applyFill="1" applyAlignment="1">
      <alignment horizontal="center"/>
    </xf>
    <xf xfId="0" numFmtId="0" borderId="1" applyBorder="1" fontId="28" applyFont="1" fillId="0" applyAlignment="1">
      <alignment horizontal="left" indent="1"/>
    </xf>
    <xf xfId="0" numFmtId="0" borderId="15" applyBorder="1" fontId="28" applyFont="1" fillId="0" applyAlignment="1">
      <alignment horizontal="left"/>
    </xf>
    <xf xfId="0" numFmtId="0" borderId="15" applyBorder="1" fontId="28" applyFont="1" fillId="0" applyAlignment="1">
      <alignment horizontal="left" wrapText="1"/>
    </xf>
    <xf xfId="0" numFmtId="0" borderId="15" applyBorder="1" fontId="29" applyFont="1" fillId="0" applyAlignment="1">
      <alignment horizontal="center"/>
    </xf>
    <xf xfId="0" numFmtId="164" applyNumberFormat="1" borderId="15" applyBorder="1" fontId="28" applyFont="1" fillId="0" applyAlignment="1">
      <alignment horizontal="left"/>
    </xf>
    <xf xfId="0" numFmtId="3" applyNumberFormat="1" borderId="15" applyBorder="1" fontId="29" applyFont="1" fillId="0" applyAlignment="1">
      <alignment horizontal="center"/>
    </xf>
    <xf xfId="0" numFmtId="165" applyNumberFormat="1" borderId="15" applyBorder="1" fontId="28" applyFont="1" fillId="0" applyAlignment="1">
      <alignment horizontal="center"/>
    </xf>
    <xf xfId="0" numFmtId="165" applyNumberFormat="1" borderId="16" applyBorder="1" fontId="30" applyFont="1" fillId="0" applyAlignment="1">
      <alignment horizontal="center"/>
    </xf>
    <xf xfId="0" numFmtId="7" applyNumberFormat="1" borderId="17" applyBorder="1" fontId="30" applyFont="1" fillId="0" applyAlignment="1">
      <alignment horizontal="center"/>
    </xf>
    <xf xfId="0" numFmtId="0" borderId="18" applyBorder="1" fontId="30" applyFont="1" fillId="17" applyFill="1" applyAlignment="1">
      <alignment horizontal="center"/>
    </xf>
    <xf xfId="0" numFmtId="0" borderId="17" applyBorder="1" fontId="30" applyFont="1" fillId="0" applyAlignment="1">
      <alignment horizontal="center"/>
    </xf>
    <xf xfId="0" numFmtId="166" applyNumberFormat="1" borderId="17" applyBorder="1" fontId="30" applyFont="1" fillId="0" applyAlignment="1">
      <alignment horizontal="center"/>
    </xf>
    <xf xfId="0" numFmtId="0" borderId="19" applyBorder="1" fontId="30" applyFont="1" fillId="0" applyAlignment="1">
      <alignment horizontal="center"/>
    </xf>
    <xf xfId="0" numFmtId="0" borderId="1" applyBorder="1" fontId="28" applyFont="1" fillId="0" applyAlignment="1">
      <alignment horizontal="left"/>
    </xf>
    <xf xfId="0" numFmtId="165" applyNumberFormat="1" borderId="20" applyBorder="1" fontId="30" applyFont="1" fillId="0" applyAlignment="1">
      <alignment horizontal="center"/>
    </xf>
    <xf xfId="0" numFmtId="7" applyNumberFormat="1" borderId="21" applyBorder="1" fontId="30" applyFont="1" fillId="0" applyAlignment="1">
      <alignment horizontal="center"/>
    </xf>
    <xf xfId="0" numFmtId="0" borderId="21" applyBorder="1" fontId="30" applyFont="1" fillId="17" applyFill="1" applyAlignment="1">
      <alignment horizontal="center"/>
    </xf>
    <xf xfId="0" numFmtId="0" borderId="21" applyBorder="1" fontId="30" applyFont="1" fillId="0" applyAlignment="1">
      <alignment horizontal="center"/>
    </xf>
    <xf xfId="0" numFmtId="166" applyNumberFormat="1" borderId="21" applyBorder="1" fontId="30" applyFont="1" fillId="0" applyAlignment="1">
      <alignment horizontal="center"/>
    </xf>
    <xf xfId="0" numFmtId="0" borderId="22" applyBorder="1" fontId="30" applyFont="1" fillId="0" applyAlignment="1">
      <alignment horizontal="center"/>
    </xf>
    <xf xfId="0" numFmtId="0" borderId="15" applyBorder="1" fontId="29" applyFont="1" fillId="0" applyAlignment="1">
      <alignment horizontal="left" wrapText="1"/>
    </xf>
    <xf xfId="0" numFmtId="166" applyNumberFormat="1" borderId="21" applyBorder="1" fontId="30" applyFont="1" fillId="17" applyFill="1" applyAlignment="1">
      <alignment horizontal="center"/>
    </xf>
    <xf xfId="0" numFmtId="0" borderId="1" applyBorder="1" fontId="28" applyFont="1" fillId="0" applyAlignment="1">
      <alignment horizontal="left" wrapText="1"/>
    </xf>
    <xf xfId="0" numFmtId="164" applyNumberFormat="1" borderId="1" applyBorder="1" fontId="28" applyFont="1" fillId="0" applyAlignment="1">
      <alignment horizontal="left"/>
    </xf>
    <xf xfId="0" numFmtId="3" applyNumberFormat="1" borderId="1" applyBorder="1" fontId="28" applyFont="1" fillId="0" applyAlignment="1">
      <alignment horizontal="center"/>
    </xf>
    <xf xfId="0" numFmtId="165" applyNumberFormat="1" borderId="1" applyBorder="1" fontId="28" applyFont="1" fillId="0" applyAlignment="1">
      <alignment horizontal="center"/>
    </xf>
    <xf xfId="0" numFmtId="165" applyNumberFormat="1" borderId="23" applyBorder="1" fontId="30" applyFont="1" fillId="0" applyAlignment="1">
      <alignment horizontal="center"/>
    </xf>
    <xf xfId="0" numFmtId="7" applyNumberFormat="1" borderId="24" applyBorder="1" fontId="30" applyFont="1" fillId="0" applyAlignment="1">
      <alignment horizontal="center"/>
    </xf>
    <xf xfId="0" numFmtId="0" borderId="24" applyBorder="1" fontId="30" applyFont="1" fillId="0" applyAlignment="1">
      <alignment horizontal="center"/>
    </xf>
    <xf xfId="0" numFmtId="0" borderId="25" applyBorder="1" fontId="30" applyFont="1" fillId="17" applyFill="1" applyAlignment="1">
      <alignment horizontal="center"/>
    </xf>
    <xf xfId="0" numFmtId="166" applyNumberFormat="1" borderId="25" applyBorder="1" fontId="30" applyFont="1" fillId="17" applyFill="1" applyAlignment="1">
      <alignment horizontal="center"/>
    </xf>
    <xf xfId="0" numFmtId="0" borderId="26" applyBorder="1" fontId="30" applyFont="1" fillId="0" applyAlignment="1">
      <alignment horizontal="center"/>
    </xf>
    <xf xfId="0" numFmtId="0" borderId="27" applyBorder="1" fontId="28" applyFont="1" fillId="0" applyAlignment="1">
      <alignment horizontal="left"/>
    </xf>
    <xf xfId="0" numFmtId="0" borderId="27" applyBorder="1" fontId="29" applyFont="1" fillId="0" applyAlignment="1">
      <alignment horizontal="left" wrapText="1"/>
    </xf>
    <xf xfId="0" numFmtId="0" borderId="27" applyBorder="1" fontId="29" applyFont="1" fillId="0" applyAlignment="1">
      <alignment horizontal="center"/>
    </xf>
    <xf xfId="0" numFmtId="164" applyNumberFormat="1" borderId="27" applyBorder="1" fontId="28" applyFont="1" fillId="0" applyAlignment="1">
      <alignment horizontal="left"/>
    </xf>
    <xf xfId="0" numFmtId="3" applyNumberFormat="1" borderId="27" applyBorder="1" fontId="29" applyFont="1" fillId="0" applyAlignment="1">
      <alignment horizontal="center"/>
    </xf>
    <xf xfId="0" numFmtId="165" applyNumberFormat="1" borderId="27" applyBorder="1" fontId="28" applyFont="1" fillId="0" applyAlignment="1">
      <alignment horizontal="center"/>
    </xf>
    <xf xfId="0" numFmtId="0" borderId="1" applyBorder="1" fontId="19" applyFont="1" fillId="0" applyAlignment="1">
      <alignment horizontal="center"/>
    </xf>
    <xf xfId="0" numFmtId="7" applyNumberFormat="1" borderId="1" applyBorder="1" fontId="19" applyFont="1" fillId="0" applyAlignment="1">
      <alignment horizontal="center"/>
    </xf>
    <xf xfId="0" numFmtId="3" applyNumberFormat="1" borderId="1" applyBorder="1" fontId="19" applyFont="1" fillId="0" applyAlignment="1">
      <alignment horizontal="center"/>
    </xf>
    <xf xfId="0" numFmtId="0" borderId="2" applyBorder="1" fontId="19" applyFont="1" fillId="17" applyFill="1" applyAlignment="1">
      <alignment horizontal="center"/>
    </xf>
    <xf xfId="0" numFmtId="166" applyNumberFormat="1" borderId="2" applyBorder="1" fontId="19" applyFont="1" fillId="17" applyFill="1" applyAlignment="1">
      <alignment horizontal="center"/>
    </xf>
    <xf xfId="0" numFmtId="166" applyNumberFormat="1" borderId="18" applyBorder="1" fontId="30" applyFont="1" fillId="17" applyFill="1" applyAlignment="1">
      <alignment horizontal="center"/>
    </xf>
    <xf xfId="0" numFmtId="0" borderId="21" applyBorder="1" fontId="31" applyFont="1" fillId="0" applyAlignment="1">
      <alignment horizontal="left"/>
    </xf>
    <xf xfId="0" numFmtId="0" borderId="28" applyBorder="1" fontId="31" applyFont="1" fillId="0" applyAlignment="1">
      <alignment horizontal="left"/>
    </xf>
    <xf xfId="0" numFmtId="0" borderId="27" applyBorder="1" fontId="28" applyFont="1" fillId="0" applyAlignment="1">
      <alignment horizontal="left" wrapText="1"/>
    </xf>
    <xf xfId="0" numFmtId="166" applyNumberFormat="1" borderId="1" applyBorder="1" fontId="19" applyFont="1" fillId="0" applyAlignment="1">
      <alignment horizontal="center"/>
    </xf>
    <xf xfId="0" numFmtId="0" borderId="1" applyBorder="1" fontId="29" applyFont="1" fillId="0" applyAlignment="1">
      <alignment horizontal="center"/>
    </xf>
    <xf xfId="0" numFmtId="0" borderId="2" applyBorder="1" fontId="18" applyFont="1" fillId="17" applyFill="1" applyAlignment="1">
      <alignment horizontal="left"/>
    </xf>
    <xf xfId="0" numFmtId="0" borderId="2" applyBorder="1" fontId="18" applyFont="1" fillId="16" applyFill="1" applyAlignment="1">
      <alignment horizontal="left"/>
    </xf>
    <xf xfId="0" numFmtId="0" borderId="2" applyBorder="1" fontId="27" applyFont="1" fillId="16" applyFill="1" applyAlignment="1">
      <alignment horizontal="left"/>
    </xf>
    <xf xfId="0" numFmtId="164" applyNumberFormat="1" borderId="2" applyBorder="1" fontId="18" applyFont="1" fillId="16" applyFill="1" applyAlignment="1">
      <alignment horizontal="left"/>
    </xf>
    <xf xfId="0" numFmtId="3" applyNumberFormat="1" borderId="2" applyBorder="1" fontId="18" applyFont="1" fillId="16" applyFill="1" applyAlignment="1">
      <alignment horizontal="center"/>
    </xf>
    <xf xfId="0" numFmtId="165" applyNumberFormat="1" borderId="2" applyBorder="1" fontId="18" applyFont="1" fillId="16" applyFill="1" applyAlignment="1">
      <alignment horizontal="center"/>
    </xf>
    <xf xfId="0" numFmtId="166" applyNumberFormat="1" borderId="2" applyBorder="1" fontId="18" applyFont="1" fillId="16" applyFill="1" applyAlignment="1">
      <alignment horizontal="left"/>
    </xf>
    <xf xfId="0" numFmtId="0" borderId="0" fontId="0" fillId="0" applyAlignment="1">
      <alignment horizontal="general" indent="1"/>
    </xf>
    <xf xfId="0" numFmtId="0" borderId="1" applyBorder="1" fontId="29" applyFont="1" fillId="0" applyAlignment="1">
      <alignment horizontal="left" wrapText="1"/>
    </xf>
    <xf xfId="0" numFmtId="0" borderId="2" applyBorder="1" fontId="7" applyFont="1" fillId="17" applyFill="1" applyAlignment="1">
      <alignment horizontal="left"/>
    </xf>
    <xf xfId="0" numFmtId="0" borderId="2" applyBorder="1" fontId="7" applyFont="1" fillId="16" applyFill="1" applyAlignment="1">
      <alignment horizontal="left"/>
    </xf>
    <xf xfId="0" numFmtId="164" applyNumberFormat="1" borderId="2" applyBorder="1" fontId="7" applyFont="1" fillId="16" applyFill="1" applyAlignment="1">
      <alignment horizontal="left"/>
    </xf>
    <xf xfId="0" numFmtId="3" applyNumberFormat="1" borderId="2" applyBorder="1" fontId="7" applyFont="1" fillId="16" applyFill="1" applyAlignment="1">
      <alignment horizontal="left"/>
    </xf>
    <xf xfId="0" numFmtId="165" applyNumberFormat="1" borderId="2" applyBorder="1" fontId="7" applyFont="1" fillId="16" applyFill="1" applyAlignment="1">
      <alignment horizontal="left"/>
    </xf>
    <xf xfId="0" numFmtId="166" applyNumberFormat="1" borderId="2" applyBorder="1" fontId="7" applyFont="1" fillId="16" applyFill="1" applyAlignment="1">
      <alignment horizontal="left"/>
    </xf>
    <xf xfId="0" numFmtId="0" borderId="1" applyBorder="1" fontId="32" applyFont="1" fillId="0" applyAlignment="1">
      <alignment horizontal="center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166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Q102"/>
  <sheetViews>
    <sheetView workbookViewId="0" tabSelected="1"/>
  </sheetViews>
  <sheetFormatPr defaultRowHeight="15" x14ac:dyDescent="0.25"/>
  <cols>
    <col min="1" max="1" style="155" width="4.2907142857142855" customWidth="1" bestFit="1"/>
    <col min="2" max="2" style="155" width="11.147857142857141" customWidth="1" bestFit="1"/>
    <col min="3" max="3" style="155" width="27.719285714285714" customWidth="1" bestFit="1"/>
    <col min="4" max="4" style="155" width="12.147857142857141" customWidth="1" bestFit="1"/>
    <col min="5" max="5" style="156" width="12.576428571428572" customWidth="1" bestFit="1"/>
    <col min="6" max="6" style="156" width="12.576428571428572" customWidth="1" bestFit="1"/>
    <col min="7" max="7" style="157" width="8.576428571428572" customWidth="1" bestFit="1"/>
    <col min="8" max="8" style="158" width="13.576428571428572" customWidth="1" bestFit="1"/>
    <col min="9" max="9" style="155" width="3.005" customWidth="1" bestFit="1"/>
    <col min="10" max="10" style="155" width="3.005" customWidth="1" bestFit="1"/>
    <col min="11" max="11" style="155" width="3.005" customWidth="1" bestFit="1"/>
    <col min="12" max="12" style="155" width="3.005" customWidth="1" bestFit="1"/>
    <col min="13" max="13" style="155" width="3.005" customWidth="1" bestFit="1"/>
    <col min="14" max="14" style="155" width="3.005" customWidth="1" bestFit="1"/>
    <col min="15" max="15" style="155" width="3.005" customWidth="1" bestFit="1"/>
    <col min="16" max="16" style="159" width="3.005" customWidth="1" bestFit="1"/>
    <col min="17" max="17" style="155" width="3.005" customWidth="1" bestFit="1"/>
    <col min="18" max="18" style="155" width="3.005" customWidth="1" bestFit="1"/>
    <col min="19" max="19" style="155" width="3.005" customWidth="1" bestFit="1"/>
    <col min="20" max="20" style="155" width="3.005" customWidth="1" bestFit="1"/>
    <col min="21" max="21" style="155" width="3.005" customWidth="1" bestFit="1"/>
    <col min="22" max="22" style="155" width="3.005" customWidth="1" bestFit="1"/>
    <col min="23" max="23" style="155" width="3.005" customWidth="1" bestFit="1"/>
    <col min="24" max="24" style="155" width="3.005" customWidth="1" bestFit="1"/>
    <col min="25" max="25" style="155" width="3.005" customWidth="1" bestFit="1"/>
    <col min="26" max="26" style="155" width="3.005" customWidth="1" bestFit="1"/>
    <col min="27" max="27" style="155" width="3.005" customWidth="1" bestFit="1"/>
    <col min="28" max="28" style="155" width="3.005" customWidth="1" bestFit="1"/>
    <col min="29" max="29" style="155" width="3.005" customWidth="1" bestFit="1"/>
    <col min="30" max="30" style="155" width="3.005" customWidth="1" bestFit="1"/>
    <col min="31" max="31" style="155" width="3.005" customWidth="1" bestFit="1"/>
    <col min="32" max="32" style="155" width="3.005" customWidth="1" bestFit="1"/>
    <col min="33" max="33" style="155" width="3.005" customWidth="1" bestFit="1"/>
    <col min="34" max="34" style="155" width="3.005" customWidth="1" bestFit="1"/>
    <col min="35" max="35" style="155" width="3.005" customWidth="1" bestFit="1"/>
    <col min="36" max="36" style="155" width="3.005" customWidth="1" bestFit="1"/>
    <col min="37" max="37" style="155" width="3.005" customWidth="1" bestFit="1"/>
    <col min="38" max="38" style="155" width="3.005" customWidth="1" bestFit="1"/>
    <col min="39" max="39" style="155" width="3.005" customWidth="1" bestFit="1"/>
    <col min="40" max="40" style="155" width="3.005" customWidth="1" bestFit="1"/>
    <col min="41" max="41" style="155" width="3.005" customWidth="1" bestFit="1"/>
    <col min="42" max="42" style="155" width="3.005" customWidth="1" bestFit="1"/>
    <col min="43" max="43" style="155" width="3.005" customWidth="1" bestFit="1"/>
    <col min="44" max="44" style="155" width="3.005" customWidth="1" bestFit="1"/>
    <col min="45" max="45" style="155" width="3.005" customWidth="1" bestFit="1"/>
    <col min="46" max="46" style="155" width="3.005" customWidth="1" bestFit="1"/>
    <col min="47" max="47" style="155" width="3.005" customWidth="1" bestFit="1"/>
    <col min="48" max="48" style="155" width="3.005" customWidth="1" bestFit="1"/>
    <col min="49" max="49" style="155" width="3.005" customWidth="1" bestFit="1"/>
    <col min="50" max="50" style="155" width="3.005" customWidth="1" bestFit="1"/>
    <col min="51" max="51" style="155" width="3.005" customWidth="1" bestFit="1"/>
    <col min="52" max="52" style="155" width="3.005" customWidth="1" bestFit="1"/>
    <col min="53" max="53" style="155" width="3.005" customWidth="1" bestFit="1"/>
    <col min="54" max="54" style="155" width="3.005" customWidth="1" bestFit="1"/>
    <col min="55" max="55" style="155" width="3.005" customWidth="1" bestFit="1"/>
    <col min="56" max="56" style="155" width="3.005" customWidth="1" bestFit="1"/>
    <col min="57" max="57" style="155" width="3.005" customWidth="1" bestFit="1"/>
    <col min="58" max="58" style="155" width="3.005" customWidth="1" bestFit="1"/>
    <col min="59" max="59" style="155" width="3.005" customWidth="1" bestFit="1"/>
    <col min="60" max="60" style="155" width="3.005" customWidth="1" bestFit="1"/>
    <col min="61" max="61" style="155" width="3.005" customWidth="1" bestFit="1"/>
    <col min="62" max="62" style="155" width="3.005" customWidth="1" bestFit="1"/>
    <col min="63" max="63" style="155" width="3.005" customWidth="1" bestFit="1"/>
    <col min="64" max="64" style="155" width="3.005" customWidth="1" bestFit="1"/>
    <col min="65" max="65" style="155" width="3.005" customWidth="1" bestFit="1"/>
    <col min="66" max="66" style="155" width="3.005" customWidth="1" bestFit="1"/>
    <col min="67" max="67" style="155" width="3.005" customWidth="1" bestFit="1"/>
    <col min="68" max="68" style="155" width="3.005" customWidth="1" bestFit="1"/>
    <col min="69" max="69" style="155" width="3.4335714285714283" customWidth="1" bestFit="1"/>
  </cols>
  <sheetData>
    <row x14ac:dyDescent="0.25" r="1" customHeight="1" ht="40.5" outlineLevel="1">
      <c r="A1" s="1"/>
      <c r="B1" s="2"/>
      <c r="C1" s="3"/>
      <c r="D1" s="3"/>
      <c r="E1" s="4"/>
      <c r="F1" s="5"/>
      <c r="G1" s="6"/>
      <c r="H1" s="7"/>
      <c r="I1" s="8"/>
      <c r="J1" s="9"/>
      <c r="K1" s="10"/>
      <c r="L1" s="11"/>
      <c r="M1" s="10"/>
      <c r="N1" s="10"/>
      <c r="O1" s="12"/>
      <c r="P1" s="13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4"/>
      <c r="AE1" s="14"/>
      <c r="AF1" s="14"/>
      <c r="AG1" s="14"/>
      <c r="AH1" s="14"/>
      <c r="AI1" s="14"/>
      <c r="AJ1" s="14"/>
      <c r="AK1" s="14"/>
      <c r="AL1" s="14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</row>
    <row x14ac:dyDescent="0.25" r="2" customHeight="1" ht="43.5" outlineLevel="1">
      <c r="A2" s="1"/>
      <c r="B2" s="15" t="s">
        <v>0</v>
      </c>
      <c r="C2" s="16"/>
      <c r="D2" s="16"/>
      <c r="E2" s="17"/>
      <c r="F2" s="17"/>
      <c r="G2" s="18"/>
      <c r="H2" s="19"/>
      <c r="I2" s="20" t="s">
        <v>1</v>
      </c>
      <c r="J2" s="16"/>
      <c r="K2" s="16"/>
      <c r="L2" s="16"/>
      <c r="M2" s="16"/>
      <c r="N2" s="16"/>
      <c r="O2" s="21" t="s">
        <v>2</v>
      </c>
      <c r="P2" s="22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23"/>
      <c r="AI2" s="23"/>
      <c r="AJ2" s="23"/>
      <c r="AK2" s="23"/>
      <c r="AL2" s="23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</row>
    <row x14ac:dyDescent="0.25" r="3" customHeight="1" ht="19.5" outlineLevel="1">
      <c r="A3" s="1"/>
      <c r="B3" s="24"/>
      <c r="C3" s="24"/>
      <c r="D3" s="25"/>
      <c r="E3" s="26"/>
      <c r="F3" s="26"/>
      <c r="G3" s="27"/>
      <c r="H3" s="28"/>
      <c r="I3" s="29"/>
      <c r="J3" s="29"/>
      <c r="K3" s="29"/>
      <c r="L3" s="29"/>
      <c r="M3" s="30"/>
      <c r="N3" s="30"/>
      <c r="O3" s="30"/>
      <c r="P3" s="13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4"/>
      <c r="AE3" s="14"/>
      <c r="AF3" s="14"/>
      <c r="AG3" s="14"/>
      <c r="AH3" s="14"/>
      <c r="AI3" s="14"/>
      <c r="AJ3" s="14"/>
      <c r="AK3" s="14"/>
      <c r="AL3" s="14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</row>
    <row x14ac:dyDescent="0.25" r="4" customHeight="1" ht="20.25" outlineLevel="1">
      <c r="A4" s="1"/>
      <c r="B4" s="31" t="s">
        <v>3</v>
      </c>
      <c r="C4" s="32"/>
      <c r="D4" s="33" t="s">
        <v>4</v>
      </c>
      <c r="E4" s="34"/>
      <c r="F4" s="34"/>
      <c r="G4" s="35"/>
      <c r="H4" s="36"/>
      <c r="I4" s="31" t="s">
        <v>5</v>
      </c>
      <c r="J4" s="32"/>
      <c r="K4" s="32"/>
      <c r="L4" s="32"/>
      <c r="M4" s="32"/>
      <c r="N4" s="32"/>
      <c r="O4" s="32"/>
      <c r="P4" s="37" t="s">
        <v>6</v>
      </c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12"/>
      <c r="AD4" s="14"/>
      <c r="AE4" s="14"/>
      <c r="AF4" s="14"/>
      <c r="AG4" s="14"/>
      <c r="AH4" s="14"/>
      <c r="AI4" s="14"/>
      <c r="AJ4" s="14"/>
      <c r="AK4" s="14"/>
      <c r="AL4" s="14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</row>
    <row x14ac:dyDescent="0.25" r="5" customHeight="1" ht="20.25" outlineLevel="1">
      <c r="A5" s="1"/>
      <c r="B5" s="31" t="s">
        <v>7</v>
      </c>
      <c r="C5" s="32"/>
      <c r="D5" s="38" t="s">
        <v>8</v>
      </c>
      <c r="E5" s="34"/>
      <c r="F5" s="34"/>
      <c r="G5" s="35"/>
      <c r="H5" s="39"/>
      <c r="I5" s="31" t="s">
        <v>9</v>
      </c>
      <c r="J5" s="32"/>
      <c r="K5" s="32"/>
      <c r="L5" s="32"/>
      <c r="M5" s="32"/>
      <c r="N5" s="32"/>
      <c r="O5" s="32"/>
      <c r="P5" s="37">
        <v>25569.37553462963</v>
      </c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8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</row>
    <row x14ac:dyDescent="0.25" r="6" customHeight="1" ht="18.75" outlineLevel="1">
      <c r="A6" s="40"/>
      <c r="B6" s="41"/>
      <c r="C6" s="41"/>
      <c r="D6" s="41"/>
      <c r="E6" s="42"/>
      <c r="F6" s="42"/>
      <c r="G6" s="43"/>
      <c r="H6" s="44"/>
      <c r="I6" s="41"/>
      <c r="J6" s="41"/>
      <c r="K6" s="41"/>
      <c r="L6" s="41"/>
      <c r="M6" s="45"/>
      <c r="N6" s="45"/>
      <c r="O6" s="45"/>
      <c r="P6" s="46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</row>
    <row x14ac:dyDescent="0.25" r="7" customHeight="1" ht="18.75" outlineLevel="1">
      <c r="A7" s="40"/>
      <c r="B7" s="41"/>
      <c r="C7" s="41"/>
      <c r="D7" s="41"/>
      <c r="E7" s="42"/>
      <c r="F7" s="42"/>
      <c r="G7" s="43"/>
      <c r="H7" s="44"/>
      <c r="I7" s="41"/>
      <c r="J7" s="41"/>
      <c r="K7" s="41"/>
      <c r="L7" s="41"/>
      <c r="M7" s="45"/>
      <c r="N7" s="45"/>
      <c r="O7" s="45"/>
      <c r="P7" s="46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</row>
    <row x14ac:dyDescent="0.25" r="8" customHeight="1" ht="18.75" outlineLevel="1">
      <c r="A8" s="47"/>
      <c r="B8" s="48" t="s">
        <v>10</v>
      </c>
      <c r="C8" s="49" t="s">
        <v>11</v>
      </c>
      <c r="D8" s="49" t="s">
        <v>12</v>
      </c>
      <c r="E8" s="50" t="s">
        <v>13</v>
      </c>
      <c r="F8" s="50" t="s">
        <v>14</v>
      </c>
      <c r="G8" s="51" t="s">
        <v>15</v>
      </c>
      <c r="H8" s="52" t="s">
        <v>16</v>
      </c>
      <c r="I8" s="53" t="s">
        <v>17</v>
      </c>
      <c r="J8" s="54"/>
      <c r="K8" s="54"/>
      <c r="L8" s="54"/>
      <c r="M8" s="54"/>
      <c r="N8" s="54"/>
      <c r="O8" s="54"/>
      <c r="P8" s="55"/>
      <c r="Q8" s="54"/>
      <c r="R8" s="54"/>
      <c r="S8" s="54"/>
      <c r="T8" s="54"/>
      <c r="U8" s="54"/>
      <c r="V8" s="54"/>
      <c r="W8" s="54"/>
      <c r="X8" s="56" t="s">
        <v>18</v>
      </c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7" t="s">
        <v>19</v>
      </c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8" t="s">
        <v>20</v>
      </c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9"/>
      <c r="BQ8" s="45"/>
    </row>
    <row x14ac:dyDescent="0.25" r="9" customHeight="1" ht="18.75" outlineLevel="1">
      <c r="A9" s="60"/>
      <c r="B9" s="54"/>
      <c r="C9" s="54"/>
      <c r="D9" s="54"/>
      <c r="E9" s="61"/>
      <c r="F9" s="61"/>
      <c r="G9" s="62"/>
      <c r="H9" s="63"/>
      <c r="I9" s="64" t="s">
        <v>21</v>
      </c>
      <c r="J9" s="65"/>
      <c r="K9" s="65"/>
      <c r="L9" s="65"/>
      <c r="M9" s="66"/>
      <c r="N9" s="64" t="s">
        <v>22</v>
      </c>
      <c r="O9" s="65"/>
      <c r="P9" s="67"/>
      <c r="Q9" s="65"/>
      <c r="R9" s="66"/>
      <c r="S9" s="64" t="s">
        <v>23</v>
      </c>
      <c r="T9" s="65"/>
      <c r="U9" s="65"/>
      <c r="V9" s="65"/>
      <c r="W9" s="66"/>
      <c r="X9" s="68" t="s">
        <v>24</v>
      </c>
      <c r="Y9" s="65"/>
      <c r="Z9" s="65"/>
      <c r="AA9" s="65"/>
      <c r="AB9" s="66"/>
      <c r="AC9" s="68" t="s">
        <v>25</v>
      </c>
      <c r="AD9" s="65"/>
      <c r="AE9" s="65"/>
      <c r="AF9" s="65"/>
      <c r="AG9" s="66"/>
      <c r="AH9" s="68" t="s">
        <v>26</v>
      </c>
      <c r="AI9" s="65"/>
      <c r="AJ9" s="65"/>
      <c r="AK9" s="65"/>
      <c r="AL9" s="66"/>
      <c r="AM9" s="69" t="s">
        <v>27</v>
      </c>
      <c r="AN9" s="65"/>
      <c r="AO9" s="65"/>
      <c r="AP9" s="65"/>
      <c r="AQ9" s="66"/>
      <c r="AR9" s="69" t="s">
        <v>28</v>
      </c>
      <c r="AS9" s="65"/>
      <c r="AT9" s="65"/>
      <c r="AU9" s="65"/>
      <c r="AV9" s="66"/>
      <c r="AW9" s="69" t="s">
        <v>29</v>
      </c>
      <c r="AX9" s="65"/>
      <c r="AY9" s="65"/>
      <c r="AZ9" s="65"/>
      <c r="BA9" s="66"/>
      <c r="BB9" s="70" t="s">
        <v>30</v>
      </c>
      <c r="BC9" s="65"/>
      <c r="BD9" s="65"/>
      <c r="BE9" s="65"/>
      <c r="BF9" s="66"/>
      <c r="BG9" s="70" t="s">
        <v>31</v>
      </c>
      <c r="BH9" s="65"/>
      <c r="BI9" s="65"/>
      <c r="BJ9" s="65"/>
      <c r="BK9" s="66"/>
      <c r="BL9" s="70" t="s">
        <v>32</v>
      </c>
      <c r="BM9" s="65"/>
      <c r="BN9" s="65"/>
      <c r="BO9" s="65"/>
      <c r="BP9" s="66"/>
      <c r="BQ9" s="71"/>
    </row>
    <row x14ac:dyDescent="0.25" r="10" customHeight="1" ht="18.75" outlineLevel="1">
      <c r="A10" s="72"/>
      <c r="B10" s="54"/>
      <c r="C10" s="54"/>
      <c r="D10" s="54"/>
      <c r="E10" s="61"/>
      <c r="F10" s="61"/>
      <c r="G10" s="62"/>
      <c r="H10" s="63"/>
      <c r="I10" s="73" t="s">
        <v>33</v>
      </c>
      <c r="J10" s="73" t="s">
        <v>34</v>
      </c>
      <c r="K10" s="73" t="s">
        <v>35</v>
      </c>
      <c r="L10" s="73" t="s">
        <v>36</v>
      </c>
      <c r="M10" s="73" t="s">
        <v>37</v>
      </c>
      <c r="N10" s="73" t="s">
        <v>33</v>
      </c>
      <c r="O10" s="73" t="s">
        <v>34</v>
      </c>
      <c r="P10" s="74" t="s">
        <v>35</v>
      </c>
      <c r="Q10" s="73" t="s">
        <v>36</v>
      </c>
      <c r="R10" s="73" t="s">
        <v>37</v>
      </c>
      <c r="S10" s="73" t="s">
        <v>33</v>
      </c>
      <c r="T10" s="73" t="s">
        <v>34</v>
      </c>
      <c r="U10" s="73" t="s">
        <v>35</v>
      </c>
      <c r="V10" s="73" t="s">
        <v>36</v>
      </c>
      <c r="W10" s="73" t="s">
        <v>37</v>
      </c>
      <c r="X10" s="75" t="s">
        <v>33</v>
      </c>
      <c r="Y10" s="75" t="s">
        <v>34</v>
      </c>
      <c r="Z10" s="75" t="s">
        <v>35</v>
      </c>
      <c r="AA10" s="75" t="s">
        <v>36</v>
      </c>
      <c r="AB10" s="75" t="s">
        <v>37</v>
      </c>
      <c r="AC10" s="75" t="s">
        <v>33</v>
      </c>
      <c r="AD10" s="75" t="s">
        <v>34</v>
      </c>
      <c r="AE10" s="75" t="s">
        <v>35</v>
      </c>
      <c r="AF10" s="75" t="s">
        <v>36</v>
      </c>
      <c r="AG10" s="75" t="s">
        <v>37</v>
      </c>
      <c r="AH10" s="75" t="s">
        <v>33</v>
      </c>
      <c r="AI10" s="75" t="s">
        <v>34</v>
      </c>
      <c r="AJ10" s="75" t="s">
        <v>35</v>
      </c>
      <c r="AK10" s="75" t="s">
        <v>36</v>
      </c>
      <c r="AL10" s="75" t="s">
        <v>37</v>
      </c>
      <c r="AM10" s="76" t="s">
        <v>33</v>
      </c>
      <c r="AN10" s="76" t="s">
        <v>34</v>
      </c>
      <c r="AO10" s="76" t="s">
        <v>35</v>
      </c>
      <c r="AP10" s="76" t="s">
        <v>36</v>
      </c>
      <c r="AQ10" s="76" t="s">
        <v>37</v>
      </c>
      <c r="AR10" s="76" t="s">
        <v>33</v>
      </c>
      <c r="AS10" s="76" t="s">
        <v>34</v>
      </c>
      <c r="AT10" s="76" t="s">
        <v>35</v>
      </c>
      <c r="AU10" s="76" t="s">
        <v>36</v>
      </c>
      <c r="AV10" s="76" t="s">
        <v>37</v>
      </c>
      <c r="AW10" s="76" t="s">
        <v>33</v>
      </c>
      <c r="AX10" s="76" t="s">
        <v>34</v>
      </c>
      <c r="AY10" s="76" t="s">
        <v>35</v>
      </c>
      <c r="AZ10" s="76" t="s">
        <v>36</v>
      </c>
      <c r="BA10" s="76" t="s">
        <v>37</v>
      </c>
      <c r="BB10" s="77" t="s">
        <v>33</v>
      </c>
      <c r="BC10" s="77" t="s">
        <v>34</v>
      </c>
      <c r="BD10" s="77" t="s">
        <v>35</v>
      </c>
      <c r="BE10" s="77" t="s">
        <v>36</v>
      </c>
      <c r="BF10" s="77" t="s">
        <v>37</v>
      </c>
      <c r="BG10" s="77" t="s">
        <v>33</v>
      </c>
      <c r="BH10" s="77" t="s">
        <v>34</v>
      </c>
      <c r="BI10" s="77" t="s">
        <v>35</v>
      </c>
      <c r="BJ10" s="77" t="s">
        <v>36</v>
      </c>
      <c r="BK10" s="77" t="s">
        <v>37</v>
      </c>
      <c r="BL10" s="77" t="s">
        <v>33</v>
      </c>
      <c r="BM10" s="77" t="s">
        <v>34</v>
      </c>
      <c r="BN10" s="77" t="s">
        <v>35</v>
      </c>
      <c r="BO10" s="77" t="s">
        <v>36</v>
      </c>
      <c r="BP10" s="77" t="s">
        <v>37</v>
      </c>
      <c r="BQ10" s="78"/>
    </row>
    <row x14ac:dyDescent="0.25" r="11" customHeight="1" ht="21.75">
      <c r="A11" s="79"/>
      <c r="B11" s="80" t="s">
        <v>38</v>
      </c>
      <c r="C11" s="81" t="s">
        <v>39</v>
      </c>
      <c r="D11" s="82"/>
      <c r="E11" s="83"/>
      <c r="F11" s="83"/>
      <c r="G11" s="84"/>
      <c r="H11" s="85"/>
      <c r="I11" s="86"/>
      <c r="J11" s="87"/>
      <c r="K11" s="88"/>
      <c r="L11" s="88"/>
      <c r="M11" s="86"/>
      <c r="N11" s="86"/>
      <c r="O11" s="86"/>
      <c r="P11" s="89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45"/>
    </row>
    <row x14ac:dyDescent="0.25" r="12" customHeight="1" ht="20.25" outlineLevel="1">
      <c r="A12" s="90"/>
      <c r="B12" s="91" t="s">
        <v>40</v>
      </c>
      <c r="C12" s="92" t="s">
        <v>41</v>
      </c>
      <c r="D12" s="93" t="s">
        <v>42</v>
      </c>
      <c r="E12" s="94">
        <v>25569.37553452546</v>
      </c>
      <c r="F12" s="94">
        <v>25569.375534537037</v>
      </c>
      <c r="G12" s="95">
        <f>NETWORKDAYS(E12,F12)</f>
      </c>
      <c r="H12" s="96">
        <v>0</v>
      </c>
      <c r="I12" s="97"/>
      <c r="J12" s="98"/>
      <c r="K12" s="99"/>
      <c r="L12" s="99"/>
      <c r="M12" s="100"/>
      <c r="N12" s="100"/>
      <c r="O12" s="100"/>
      <c r="P12" s="101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100"/>
      <c r="BK12" s="100"/>
      <c r="BL12" s="100"/>
      <c r="BM12" s="100"/>
      <c r="BN12" s="100"/>
      <c r="BO12" s="100"/>
      <c r="BP12" s="102"/>
      <c r="BQ12" s="103"/>
    </row>
    <row x14ac:dyDescent="0.25" r="13" customHeight="1" ht="34.5" outlineLevel="1">
      <c r="A13" s="90"/>
      <c r="B13" s="91" t="s">
        <v>43</v>
      </c>
      <c r="C13" s="92" t="s">
        <v>44</v>
      </c>
      <c r="D13" s="93" t="s">
        <v>42</v>
      </c>
      <c r="E13" s="94">
        <v>25569.37553452546</v>
      </c>
      <c r="F13" s="94">
        <v>25569.375534583334</v>
      </c>
      <c r="G13" s="95">
        <f>NETWORKDAYS(E13,F13)</f>
      </c>
      <c r="H13" s="96">
        <v>0</v>
      </c>
      <c r="I13" s="104"/>
      <c r="J13" s="105"/>
      <c r="K13" s="106"/>
      <c r="L13" s="106"/>
      <c r="M13" s="106"/>
      <c r="N13" s="106"/>
      <c r="O13" s="107"/>
      <c r="P13" s="108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7"/>
      <c r="BF13" s="107"/>
      <c r="BG13" s="107"/>
      <c r="BH13" s="107"/>
      <c r="BI13" s="107"/>
      <c r="BJ13" s="107"/>
      <c r="BK13" s="107"/>
      <c r="BL13" s="107"/>
      <c r="BM13" s="107"/>
      <c r="BN13" s="107"/>
      <c r="BO13" s="107"/>
      <c r="BP13" s="109"/>
      <c r="BQ13" s="103"/>
    </row>
    <row x14ac:dyDescent="0.25" r="14" customHeight="1" ht="34.5" outlineLevel="1">
      <c r="A14" s="90"/>
      <c r="B14" s="91" t="s">
        <v>45</v>
      </c>
      <c r="C14" s="110" t="s">
        <v>46</v>
      </c>
      <c r="D14" s="93" t="s">
        <v>47</v>
      </c>
      <c r="E14" s="94">
        <v>25569.375534537037</v>
      </c>
      <c r="F14" s="94">
        <v>25569.37553462963</v>
      </c>
      <c r="G14" s="95">
        <f>NETWORKDAYS(E14,F14)</f>
      </c>
      <c r="H14" s="96">
        <v>0</v>
      </c>
      <c r="I14" s="104"/>
      <c r="J14" s="105"/>
      <c r="K14" s="107"/>
      <c r="L14" s="106"/>
      <c r="M14" s="106"/>
      <c r="N14" s="106"/>
      <c r="O14" s="106"/>
      <c r="P14" s="111"/>
      <c r="Q14" s="106"/>
      <c r="R14" s="106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7"/>
      <c r="BF14" s="107"/>
      <c r="BG14" s="107"/>
      <c r="BH14" s="107"/>
      <c r="BI14" s="107"/>
      <c r="BJ14" s="107"/>
      <c r="BK14" s="107"/>
      <c r="BL14" s="107"/>
      <c r="BM14" s="107"/>
      <c r="BN14" s="107"/>
      <c r="BO14" s="107"/>
      <c r="BP14" s="109"/>
      <c r="BQ14" s="103"/>
    </row>
    <row x14ac:dyDescent="0.25" r="15" customHeight="1" ht="20.25" outlineLevel="1">
      <c r="A15" s="90"/>
      <c r="B15" s="91" t="s">
        <v>48</v>
      </c>
      <c r="C15" s="110" t="s">
        <v>49</v>
      </c>
      <c r="D15" s="93" t="s">
        <v>47</v>
      </c>
      <c r="E15" s="94">
        <v>25569.375534537037</v>
      </c>
      <c r="F15" s="94">
        <v>25569.375534583334</v>
      </c>
      <c r="G15" s="95">
        <f>NETWORKDAYS(E15,F15)</f>
      </c>
      <c r="H15" s="96">
        <v>0</v>
      </c>
      <c r="I15" s="104"/>
      <c r="J15" s="105"/>
      <c r="K15" s="107"/>
      <c r="L15" s="106"/>
      <c r="M15" s="106"/>
      <c r="N15" s="106"/>
      <c r="O15" s="107"/>
      <c r="P15" s="108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9"/>
      <c r="BQ15" s="103"/>
    </row>
    <row x14ac:dyDescent="0.25" r="16" customHeight="1" ht="34.5" outlineLevel="1">
      <c r="A16" s="90"/>
      <c r="B16" s="91" t="s">
        <v>50</v>
      </c>
      <c r="C16" s="92" t="s">
        <v>51</v>
      </c>
      <c r="D16" s="93" t="s">
        <v>42</v>
      </c>
      <c r="E16" s="94">
        <v>25569.37553454861</v>
      </c>
      <c r="F16" s="94">
        <v>25569.375534606483</v>
      </c>
      <c r="G16" s="95">
        <f>NETWORKDAYS(E16,F16)</f>
      </c>
      <c r="H16" s="96">
        <v>0</v>
      </c>
      <c r="I16" s="104"/>
      <c r="J16" s="105"/>
      <c r="K16" s="107"/>
      <c r="L16" s="107"/>
      <c r="M16" s="106"/>
      <c r="N16" s="106"/>
      <c r="O16" s="106"/>
      <c r="P16" s="111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9"/>
      <c r="BQ16" s="103"/>
    </row>
    <row x14ac:dyDescent="0.25" r="17" customHeight="1" ht="34.5" outlineLevel="1">
      <c r="A17" s="90"/>
      <c r="B17" s="91" t="s">
        <v>52</v>
      </c>
      <c r="C17" s="92" t="s">
        <v>53</v>
      </c>
      <c r="D17" s="93" t="s">
        <v>42</v>
      </c>
      <c r="E17" s="94">
        <v>25569.375534583334</v>
      </c>
      <c r="F17" s="94">
        <v>25569.375534618055</v>
      </c>
      <c r="G17" s="95">
        <f>NETWORKDAYS(E17,F17)</f>
      </c>
      <c r="H17" s="96">
        <v>0</v>
      </c>
      <c r="I17" s="104"/>
      <c r="J17" s="105"/>
      <c r="K17" s="107"/>
      <c r="L17" s="107"/>
      <c r="M17" s="107"/>
      <c r="N17" s="106"/>
      <c r="O17" s="106"/>
      <c r="P17" s="111"/>
      <c r="Q17" s="106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7"/>
      <c r="BF17" s="107"/>
      <c r="BG17" s="107"/>
      <c r="BH17" s="107"/>
      <c r="BI17" s="107"/>
      <c r="BJ17" s="107"/>
      <c r="BK17" s="107"/>
      <c r="BL17" s="107"/>
      <c r="BM17" s="107"/>
      <c r="BN17" s="107"/>
      <c r="BO17" s="107"/>
      <c r="BP17" s="109"/>
      <c r="BQ17" s="103"/>
    </row>
    <row x14ac:dyDescent="0.25" r="18" customHeight="1" ht="20.25" outlineLevel="1">
      <c r="A18" s="90"/>
      <c r="B18" s="103" t="s">
        <v>54</v>
      </c>
      <c r="C18" s="112" t="s">
        <v>55</v>
      </c>
      <c r="D18" s="93" t="s">
        <v>47</v>
      </c>
      <c r="E18" s="113">
        <v>25569.375534594907</v>
      </c>
      <c r="F18" s="113">
        <v>25569.37553471065</v>
      </c>
      <c r="G18" s="114">
        <f>NETWORKDAYS(E18,F18)</f>
      </c>
      <c r="H18" s="115">
        <v>0</v>
      </c>
      <c r="I18" s="116"/>
      <c r="J18" s="117"/>
      <c r="K18" s="118"/>
      <c r="L18" s="118"/>
      <c r="M18" s="118"/>
      <c r="N18" s="118"/>
      <c r="O18" s="119"/>
      <c r="P18" s="120"/>
      <c r="Q18" s="119"/>
      <c r="R18" s="119"/>
      <c r="S18" s="119"/>
      <c r="T18" s="119"/>
      <c r="U18" s="119"/>
      <c r="V18" s="119"/>
      <c r="W18" s="119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21"/>
      <c r="BQ18" s="103"/>
    </row>
    <row x14ac:dyDescent="0.25" r="19" customHeight="1" ht="34.5">
      <c r="A19" s="79"/>
      <c r="B19" s="122" t="s">
        <v>56</v>
      </c>
      <c r="C19" s="123" t="s">
        <v>57</v>
      </c>
      <c r="D19" s="124" t="s">
        <v>47</v>
      </c>
      <c r="E19" s="125">
        <v>25569.375534594907</v>
      </c>
      <c r="F19" s="125">
        <v>25569.375534664352</v>
      </c>
      <c r="G19" s="126">
        <f>NETWORKDAYS(E19,F19)</f>
      </c>
      <c r="H19" s="127">
        <v>0</v>
      </c>
      <c r="I19" s="128"/>
      <c r="J19" s="129"/>
      <c r="K19" s="130"/>
      <c r="L19" s="130"/>
      <c r="M19" s="128"/>
      <c r="N19" s="128"/>
      <c r="O19" s="131"/>
      <c r="P19" s="132"/>
      <c r="Q19" s="131"/>
      <c r="R19" s="131"/>
      <c r="S19" s="131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45"/>
    </row>
    <row x14ac:dyDescent="0.25" r="20" customHeight="1" ht="34.5" outlineLevel="1">
      <c r="A20" s="90"/>
      <c r="B20" s="91" t="s">
        <v>58</v>
      </c>
      <c r="C20" s="92" t="s">
        <v>59</v>
      </c>
      <c r="D20" s="93" t="s">
        <v>42</v>
      </c>
      <c r="E20" s="94">
        <v>25569.375534606483</v>
      </c>
      <c r="F20" s="94">
        <v>25569.37553462963</v>
      </c>
      <c r="G20" s="95">
        <f>NETWORKDAYS(E20,F20)</f>
      </c>
      <c r="H20" s="96">
        <v>0</v>
      </c>
      <c r="I20" s="97"/>
      <c r="J20" s="98"/>
      <c r="K20" s="100"/>
      <c r="L20" s="100"/>
      <c r="M20" s="100"/>
      <c r="N20" s="100"/>
      <c r="O20" s="100"/>
      <c r="P20" s="133"/>
      <c r="Q20" s="99"/>
      <c r="R20" s="99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2"/>
      <c r="BQ20" s="103"/>
    </row>
    <row x14ac:dyDescent="0.25" r="21" customHeight="1" ht="34.5" outlineLevel="1">
      <c r="A21" s="90"/>
      <c r="B21" s="91" t="s">
        <v>60</v>
      </c>
      <c r="C21" s="92" t="s">
        <v>61</v>
      </c>
      <c r="D21" s="93" t="s">
        <v>42</v>
      </c>
      <c r="E21" s="94">
        <v>25569.375534618055</v>
      </c>
      <c r="F21" s="94">
        <v>25569.375534675924</v>
      </c>
      <c r="G21" s="95">
        <f>NETWORKDAYS(E21,F21)</f>
      </c>
      <c r="H21" s="96">
        <v>0</v>
      </c>
      <c r="I21" s="104"/>
      <c r="J21" s="105"/>
      <c r="K21" s="107"/>
      <c r="L21" s="107"/>
      <c r="M21" s="107"/>
      <c r="N21" s="107"/>
      <c r="O21" s="107"/>
      <c r="P21" s="108"/>
      <c r="Q21" s="106"/>
      <c r="R21" s="106"/>
      <c r="S21" s="106"/>
      <c r="T21" s="106"/>
      <c r="U21" s="107"/>
      <c r="V21" s="107"/>
      <c r="W21" s="107"/>
      <c r="X21" s="107"/>
      <c r="Y21" s="107"/>
      <c r="Z21" s="107"/>
      <c r="AA21" s="107"/>
      <c r="AB21" s="100"/>
      <c r="AC21" s="100"/>
      <c r="AD21" s="100"/>
      <c r="AE21" s="134"/>
      <c r="AF21" s="135"/>
      <c r="AG21" s="135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9"/>
      <c r="BQ21" s="103"/>
    </row>
    <row x14ac:dyDescent="0.25" r="22" customHeight="1" ht="17.25" outlineLevel="1">
      <c r="A22" s="90"/>
      <c r="B22" s="91" t="s">
        <v>62</v>
      </c>
      <c r="C22" s="110" t="s">
        <v>63</v>
      </c>
      <c r="D22" s="93" t="s">
        <v>64</v>
      </c>
      <c r="E22" s="94">
        <v>25569.375534641204</v>
      </c>
      <c r="F22" s="94">
        <v>25569.37553471065</v>
      </c>
      <c r="G22" s="95">
        <f>NETWORKDAYS(E22,F22)</f>
      </c>
      <c r="H22" s="96">
        <v>0</v>
      </c>
      <c r="I22" s="104"/>
      <c r="J22" s="105"/>
      <c r="K22" s="107"/>
      <c r="L22" s="107"/>
      <c r="M22" s="107"/>
      <c r="N22" s="107"/>
      <c r="O22" s="107"/>
      <c r="P22" s="108"/>
      <c r="Q22" s="107"/>
      <c r="R22" s="107"/>
      <c r="S22" s="106"/>
      <c r="T22" s="106"/>
      <c r="U22" s="106"/>
      <c r="V22" s="106"/>
      <c r="W22" s="106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7"/>
      <c r="BF22" s="107"/>
      <c r="BG22" s="107"/>
      <c r="BH22" s="107"/>
      <c r="BI22" s="107"/>
      <c r="BJ22" s="107"/>
      <c r="BK22" s="107"/>
      <c r="BL22" s="107"/>
      <c r="BM22" s="107"/>
      <c r="BN22" s="107"/>
      <c r="BO22" s="107"/>
      <c r="BP22" s="109"/>
      <c r="BQ22" s="103"/>
    </row>
    <row x14ac:dyDescent="0.25" r="23" customHeight="1" ht="17.25" outlineLevel="1">
      <c r="A23" s="90"/>
      <c r="B23" s="91" t="s">
        <v>65</v>
      </c>
      <c r="C23" s="92" t="s">
        <v>66</v>
      </c>
      <c r="D23" s="93" t="s">
        <v>42</v>
      </c>
      <c r="E23" s="94">
        <v>25569.375534664352</v>
      </c>
      <c r="F23" s="94">
        <v>25569.375534675924</v>
      </c>
      <c r="G23" s="95">
        <f>NETWORKDAYS(E23,F23)</f>
      </c>
      <c r="H23" s="96">
        <v>0</v>
      </c>
      <c r="I23" s="104"/>
      <c r="J23" s="105"/>
      <c r="K23" s="107"/>
      <c r="L23" s="107"/>
      <c r="M23" s="107"/>
      <c r="N23" s="107"/>
      <c r="O23" s="107"/>
      <c r="P23" s="108"/>
      <c r="Q23" s="107"/>
      <c r="R23" s="107"/>
      <c r="S23" s="106"/>
      <c r="T23" s="106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7"/>
      <c r="BF23" s="107"/>
      <c r="BG23" s="107"/>
      <c r="BH23" s="107"/>
      <c r="BI23" s="107"/>
      <c r="BJ23" s="107"/>
      <c r="BK23" s="107"/>
      <c r="BL23" s="107"/>
      <c r="BM23" s="107"/>
      <c r="BN23" s="107"/>
      <c r="BO23" s="107"/>
      <c r="BP23" s="109"/>
      <c r="BQ23" s="103"/>
    </row>
    <row x14ac:dyDescent="0.25" r="24" customHeight="1" ht="21">
      <c r="A24" s="79"/>
      <c r="B24" s="80" t="s">
        <v>67</v>
      </c>
      <c r="C24" s="81" t="s">
        <v>68</v>
      </c>
      <c r="D24" s="82"/>
      <c r="E24" s="83"/>
      <c r="F24" s="83"/>
      <c r="G24" s="84"/>
      <c r="H24" s="85"/>
      <c r="I24" s="86"/>
      <c r="J24" s="87"/>
      <c r="K24" s="88"/>
      <c r="L24" s="88"/>
      <c r="M24" s="86"/>
      <c r="N24" s="86"/>
      <c r="O24" s="86"/>
      <c r="P24" s="89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6"/>
      <c r="BF24" s="86"/>
      <c r="BG24" s="86"/>
      <c r="BH24" s="86"/>
      <c r="BI24" s="86"/>
      <c r="BJ24" s="86"/>
      <c r="BK24" s="86"/>
      <c r="BL24" s="86"/>
      <c r="BM24" s="86"/>
      <c r="BN24" s="86"/>
      <c r="BO24" s="86"/>
      <c r="BP24" s="86"/>
      <c r="BQ24" s="45"/>
    </row>
    <row x14ac:dyDescent="0.25" r="25" customHeight="1" ht="17.25" outlineLevel="1">
      <c r="A25" s="90"/>
      <c r="B25" s="91" t="s">
        <v>69</v>
      </c>
      <c r="C25" s="92" t="s">
        <v>70</v>
      </c>
      <c r="D25" s="93" t="s">
        <v>47</v>
      </c>
      <c r="E25" s="94">
        <v>25569.375534606483</v>
      </c>
      <c r="F25" s="94">
        <v>25569.3755346875</v>
      </c>
      <c r="G25" s="95">
        <f>NETWORKDAYS(E25,F25)</f>
      </c>
      <c r="H25" s="96">
        <v>0</v>
      </c>
      <c r="I25" s="97"/>
      <c r="J25" s="98"/>
      <c r="K25" s="100"/>
      <c r="L25" s="100"/>
      <c r="M25" s="100"/>
      <c r="N25" s="107"/>
      <c r="O25" s="107"/>
      <c r="P25" s="111"/>
      <c r="Q25" s="106"/>
      <c r="R25" s="106"/>
      <c r="S25" s="99"/>
      <c r="T25" s="99"/>
      <c r="U25" s="99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100"/>
      <c r="BK25" s="100"/>
      <c r="BL25" s="100"/>
      <c r="BM25" s="100"/>
      <c r="BN25" s="100"/>
      <c r="BO25" s="100"/>
      <c r="BP25" s="102"/>
      <c r="BQ25" s="103"/>
    </row>
    <row x14ac:dyDescent="0.25" r="26" customHeight="1" ht="17.25" outlineLevel="1">
      <c r="A26" s="90"/>
      <c r="B26" s="91" t="s">
        <v>71</v>
      </c>
      <c r="C26" s="92" t="s">
        <v>72</v>
      </c>
      <c r="D26" s="93" t="s">
        <v>73</v>
      </c>
      <c r="E26" s="94">
        <v>25569.375534664352</v>
      </c>
      <c r="F26" s="94">
        <v>25569.375534675924</v>
      </c>
      <c r="G26" s="95">
        <f>NETWORKDAYS(E26,F26)</f>
      </c>
      <c r="H26" s="96">
        <v>0</v>
      </c>
      <c r="I26" s="104"/>
      <c r="J26" s="105"/>
      <c r="K26" s="107"/>
      <c r="L26" s="107"/>
      <c r="M26" s="107"/>
      <c r="N26" s="107"/>
      <c r="O26" s="107"/>
      <c r="P26" s="108"/>
      <c r="Q26" s="107"/>
      <c r="R26" s="107"/>
      <c r="S26" s="106"/>
      <c r="T26" s="106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  <c r="BM26" s="107"/>
      <c r="BN26" s="107"/>
      <c r="BO26" s="107"/>
      <c r="BP26" s="109"/>
      <c r="BQ26" s="103"/>
    </row>
    <row x14ac:dyDescent="0.25" r="27" customHeight="1" ht="17.25" outlineLevel="1">
      <c r="A27" s="90"/>
      <c r="B27" s="91" t="s">
        <v>74</v>
      </c>
      <c r="C27" s="110" t="s">
        <v>75</v>
      </c>
      <c r="D27" s="93" t="s">
        <v>64</v>
      </c>
      <c r="E27" s="94">
        <v>25569.3755346875</v>
      </c>
      <c r="F27" s="94">
        <v>25569.375534791667</v>
      </c>
      <c r="G27" s="95">
        <f>NETWORKDAYS(E27,F27)</f>
      </c>
      <c r="H27" s="96">
        <v>0</v>
      </c>
      <c r="I27" s="104"/>
      <c r="J27" s="105"/>
      <c r="K27" s="107"/>
      <c r="L27" s="107"/>
      <c r="M27" s="107"/>
      <c r="N27" s="107"/>
      <c r="O27" s="107"/>
      <c r="P27" s="108"/>
      <c r="Q27" s="107"/>
      <c r="R27" s="107"/>
      <c r="S27" s="100"/>
      <c r="T27" s="100"/>
      <c r="U27" s="99"/>
      <c r="V27" s="99"/>
      <c r="W27" s="106"/>
      <c r="X27" s="106"/>
      <c r="Y27" s="106"/>
      <c r="Z27" s="106"/>
      <c r="AA27" s="106"/>
      <c r="AB27" s="106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9"/>
      <c r="BQ27" s="103"/>
    </row>
    <row x14ac:dyDescent="0.25" r="28" customHeight="1" ht="17.25" outlineLevel="1">
      <c r="A28" s="90"/>
      <c r="B28" s="91" t="s">
        <v>76</v>
      </c>
      <c r="C28" s="110" t="s">
        <v>77</v>
      </c>
      <c r="D28" s="93" t="s">
        <v>64</v>
      </c>
      <c r="E28" s="94">
        <v>25569.3755346875</v>
      </c>
      <c r="F28" s="94">
        <v>25569.375534791667</v>
      </c>
      <c r="G28" s="95">
        <f>NETWORKDAYS(E28,F28)</f>
      </c>
      <c r="H28" s="96">
        <v>0</v>
      </c>
      <c r="I28" s="104"/>
      <c r="J28" s="105"/>
      <c r="K28" s="107"/>
      <c r="L28" s="107"/>
      <c r="M28" s="107"/>
      <c r="N28" s="107"/>
      <c r="O28" s="107"/>
      <c r="P28" s="108"/>
      <c r="Q28" s="107"/>
      <c r="R28" s="107"/>
      <c r="S28" s="100"/>
      <c r="T28" s="100"/>
      <c r="U28" s="99"/>
      <c r="V28" s="99"/>
      <c r="W28" s="106"/>
      <c r="X28" s="106"/>
      <c r="Y28" s="106"/>
      <c r="Z28" s="106"/>
      <c r="AA28" s="106"/>
      <c r="AB28" s="106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7"/>
      <c r="BH28" s="107"/>
      <c r="BI28" s="107"/>
      <c r="BJ28" s="107"/>
      <c r="BK28" s="107"/>
      <c r="BL28" s="107"/>
      <c r="BM28" s="107"/>
      <c r="BN28" s="107"/>
      <c r="BO28" s="107"/>
      <c r="BP28" s="109"/>
      <c r="BQ28" s="103"/>
    </row>
    <row x14ac:dyDescent="0.25" r="29" customHeight="1" ht="17.25" outlineLevel="1">
      <c r="A29" s="90"/>
      <c r="B29" s="91" t="s">
        <v>78</v>
      </c>
      <c r="C29" s="92" t="s">
        <v>79</v>
      </c>
      <c r="D29" s="93" t="s">
        <v>42</v>
      </c>
      <c r="E29" s="94">
        <v>25569.3755346875</v>
      </c>
      <c r="F29" s="94">
        <v>25569.37553474537</v>
      </c>
      <c r="G29" s="95">
        <f>NETWORKDAYS(E29,F29)</f>
      </c>
      <c r="H29" s="96">
        <v>0</v>
      </c>
      <c r="I29" s="104"/>
      <c r="J29" s="105"/>
      <c r="K29" s="107"/>
      <c r="L29" s="107"/>
      <c r="M29" s="107"/>
      <c r="N29" s="107"/>
      <c r="O29" s="107"/>
      <c r="P29" s="108"/>
      <c r="Q29" s="107"/>
      <c r="R29" s="107"/>
      <c r="S29" s="100"/>
      <c r="T29" s="100"/>
      <c r="U29" s="99"/>
      <c r="V29" s="99"/>
      <c r="W29" s="106"/>
      <c r="X29" s="106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7"/>
      <c r="BF29" s="107"/>
      <c r="BG29" s="107"/>
      <c r="BH29" s="107"/>
      <c r="BI29" s="107"/>
      <c r="BJ29" s="107"/>
      <c r="BK29" s="107"/>
      <c r="BL29" s="107"/>
      <c r="BM29" s="107"/>
      <c r="BN29" s="107"/>
      <c r="BO29" s="107"/>
      <c r="BP29" s="109"/>
      <c r="BQ29" s="103"/>
    </row>
    <row x14ac:dyDescent="0.25" r="30" customHeight="1" ht="17.25" outlineLevel="1">
      <c r="A30" s="90"/>
      <c r="B30" s="91" t="s">
        <v>80</v>
      </c>
      <c r="C30" s="92" t="s">
        <v>81</v>
      </c>
      <c r="D30" s="93" t="s">
        <v>47</v>
      </c>
      <c r="E30" s="94">
        <v>25569.375534699073</v>
      </c>
      <c r="F30" s="94">
        <v>25569.375534756946</v>
      </c>
      <c r="G30" s="95">
        <f>NETWORKDAYS(E30,F30)</f>
      </c>
      <c r="H30" s="96">
        <v>0</v>
      </c>
      <c r="I30" s="104"/>
      <c r="J30" s="105"/>
      <c r="K30" s="107"/>
      <c r="L30" s="107"/>
      <c r="M30" s="107"/>
      <c r="N30" s="107"/>
      <c r="O30" s="107"/>
      <c r="P30" s="108"/>
      <c r="Q30" s="107"/>
      <c r="R30" s="107"/>
      <c r="S30" s="100"/>
      <c r="T30" s="100"/>
      <c r="U30" s="100"/>
      <c r="V30" s="99"/>
      <c r="W30" s="106"/>
      <c r="X30" s="106"/>
      <c r="Y30" s="106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7"/>
      <c r="BF30" s="107"/>
      <c r="BG30" s="107"/>
      <c r="BH30" s="107"/>
      <c r="BI30" s="107"/>
      <c r="BJ30" s="107"/>
      <c r="BK30" s="107"/>
      <c r="BL30" s="107"/>
      <c r="BM30" s="107"/>
      <c r="BN30" s="107"/>
      <c r="BO30" s="107"/>
      <c r="BP30" s="109"/>
      <c r="BQ30" s="103"/>
    </row>
    <row x14ac:dyDescent="0.25" r="31" customHeight="1" ht="21">
      <c r="A31" s="79"/>
      <c r="B31" s="122" t="s">
        <v>82</v>
      </c>
      <c r="C31" s="136" t="s">
        <v>83</v>
      </c>
      <c r="D31" s="124" t="s">
        <v>42</v>
      </c>
      <c r="E31" s="125">
        <v>25569.37553471065</v>
      </c>
      <c r="F31" s="125">
        <v>25569.37553476852</v>
      </c>
      <c r="G31" s="126">
        <f>NETWORKDAYS(E31,F31)</f>
      </c>
      <c r="H31" s="127">
        <v>0</v>
      </c>
      <c r="I31" s="128"/>
      <c r="J31" s="129"/>
      <c r="K31" s="130"/>
      <c r="L31" s="130"/>
      <c r="M31" s="128"/>
      <c r="N31" s="128"/>
      <c r="O31" s="128"/>
      <c r="P31" s="137"/>
      <c r="Q31" s="128"/>
      <c r="R31" s="128"/>
      <c r="S31" s="128"/>
      <c r="T31" s="128"/>
      <c r="U31" s="128"/>
      <c r="V31" s="128"/>
      <c r="W31" s="131"/>
      <c r="X31" s="131"/>
      <c r="Y31" s="131"/>
      <c r="Z31" s="131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28"/>
      <c r="AY31" s="128"/>
      <c r="AZ31" s="128"/>
      <c r="BA31" s="128"/>
      <c r="BB31" s="128"/>
      <c r="BC31" s="128"/>
      <c r="BD31" s="128"/>
      <c r="BE31" s="128"/>
      <c r="BF31" s="128"/>
      <c r="BG31" s="128"/>
      <c r="BH31" s="128"/>
      <c r="BI31" s="128"/>
      <c r="BJ31" s="128"/>
      <c r="BK31" s="128"/>
      <c r="BL31" s="128"/>
      <c r="BM31" s="128"/>
      <c r="BN31" s="128"/>
      <c r="BO31" s="128"/>
      <c r="BP31" s="128"/>
      <c r="BQ31" s="45"/>
    </row>
    <row x14ac:dyDescent="0.25" r="32" customHeight="1" ht="17.25" outlineLevel="1">
      <c r="A32" s="90"/>
      <c r="B32" s="91" t="s">
        <v>84</v>
      </c>
      <c r="C32" s="92" t="s">
        <v>85</v>
      </c>
      <c r="D32" s="93" t="s">
        <v>73</v>
      </c>
      <c r="E32" s="94">
        <v>25569.37553472222</v>
      </c>
      <c r="F32" s="94">
        <v>25569.37553474537</v>
      </c>
      <c r="G32" s="95">
        <f>NETWORKDAYS(E32,F32)</f>
      </c>
      <c r="H32" s="96">
        <v>0</v>
      </c>
      <c r="I32" s="97"/>
      <c r="J32" s="98"/>
      <c r="K32" s="100"/>
      <c r="L32" s="100"/>
      <c r="M32" s="100"/>
      <c r="N32" s="100"/>
      <c r="O32" s="100"/>
      <c r="P32" s="101"/>
      <c r="Q32" s="100"/>
      <c r="R32" s="100"/>
      <c r="S32" s="100"/>
      <c r="T32" s="100"/>
      <c r="U32" s="100"/>
      <c r="V32" s="100"/>
      <c r="W32" s="100"/>
      <c r="X32" s="99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2"/>
      <c r="BQ32" s="103"/>
    </row>
    <row x14ac:dyDescent="0.25" r="33" customHeight="1" ht="17.25" outlineLevel="1">
      <c r="A33" s="90"/>
      <c r="B33" s="91" t="s">
        <v>86</v>
      </c>
      <c r="C33" s="110" t="s">
        <v>87</v>
      </c>
      <c r="D33" s="93" t="s">
        <v>64</v>
      </c>
      <c r="E33" s="94">
        <v>25569.37553474537</v>
      </c>
      <c r="F33" s="94">
        <v>25569.375534872685</v>
      </c>
      <c r="G33" s="95">
        <f>NETWORKDAYS(E33,F33)</f>
      </c>
      <c r="H33" s="96">
        <v>0</v>
      </c>
      <c r="I33" s="104"/>
      <c r="J33" s="105"/>
      <c r="K33" s="107"/>
      <c r="L33" s="107"/>
      <c r="M33" s="107"/>
      <c r="N33" s="100"/>
      <c r="O33" s="100"/>
      <c r="P33" s="101"/>
      <c r="Q33" s="100"/>
      <c r="R33" s="100"/>
      <c r="S33" s="107"/>
      <c r="T33" s="107"/>
      <c r="U33" s="107"/>
      <c r="V33" s="107"/>
      <c r="W33" s="107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7"/>
      <c r="BF33" s="107"/>
      <c r="BG33" s="107"/>
      <c r="BH33" s="107"/>
      <c r="BI33" s="107"/>
      <c r="BJ33" s="107"/>
      <c r="BK33" s="107"/>
      <c r="BL33" s="107"/>
      <c r="BM33" s="107"/>
      <c r="BN33" s="107"/>
      <c r="BO33" s="107"/>
      <c r="BP33" s="109"/>
      <c r="BQ33" s="103"/>
    </row>
    <row x14ac:dyDescent="0.25" r="34" customHeight="1" ht="17.25" outlineLevel="1">
      <c r="A34" s="90"/>
      <c r="B34" s="91" t="s">
        <v>88</v>
      </c>
      <c r="C34" s="92" t="s">
        <v>89</v>
      </c>
      <c r="D34" s="93" t="s">
        <v>64</v>
      </c>
      <c r="E34" s="94">
        <v>25569.37553474537</v>
      </c>
      <c r="F34" s="94">
        <v>25569.375534872685</v>
      </c>
      <c r="G34" s="95">
        <f>NETWORKDAYS(E34,F34)</f>
      </c>
      <c r="H34" s="96">
        <v>0</v>
      </c>
      <c r="I34" s="104"/>
      <c r="J34" s="105"/>
      <c r="K34" s="107"/>
      <c r="L34" s="107"/>
      <c r="M34" s="107"/>
      <c r="N34" s="100"/>
      <c r="O34" s="100"/>
      <c r="P34" s="101"/>
      <c r="Q34" s="100"/>
      <c r="R34" s="100"/>
      <c r="S34" s="100"/>
      <c r="T34" s="100"/>
      <c r="U34" s="100"/>
      <c r="V34" s="100"/>
      <c r="W34" s="107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  <c r="BM34" s="107"/>
      <c r="BN34" s="107"/>
      <c r="BO34" s="107"/>
      <c r="BP34" s="109"/>
      <c r="BQ34" s="103"/>
    </row>
    <row x14ac:dyDescent="0.25" r="35" customHeight="1" ht="17.25" outlineLevel="1">
      <c r="A35" s="90"/>
      <c r="B35" s="91" t="s">
        <v>90</v>
      </c>
      <c r="C35" s="110" t="s">
        <v>91</v>
      </c>
      <c r="D35" s="93" t="s">
        <v>73</v>
      </c>
      <c r="E35" s="94">
        <v>25569.37553474537</v>
      </c>
      <c r="F35" s="94">
        <v>25569.375534756946</v>
      </c>
      <c r="G35" s="95">
        <f>NETWORKDAYS(E35,F35)</f>
      </c>
      <c r="H35" s="96">
        <v>0</v>
      </c>
      <c r="I35" s="104"/>
      <c r="J35" s="105"/>
      <c r="K35" s="107"/>
      <c r="L35" s="107"/>
      <c r="M35" s="107"/>
      <c r="N35" s="100"/>
      <c r="O35" s="100"/>
      <c r="P35" s="101"/>
      <c r="Q35" s="100"/>
      <c r="R35" s="100"/>
      <c r="S35" s="100"/>
      <c r="T35" s="100"/>
      <c r="U35" s="100"/>
      <c r="V35" s="100"/>
      <c r="W35" s="107"/>
      <c r="X35" s="106"/>
      <c r="Y35" s="106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  <c r="BM35" s="107"/>
      <c r="BN35" s="107"/>
      <c r="BO35" s="107"/>
      <c r="BP35" s="109"/>
      <c r="BQ35" s="103"/>
    </row>
    <row x14ac:dyDescent="0.25" r="36" customHeight="1" ht="21" outlineLevel="1">
      <c r="A36" s="40"/>
      <c r="B36" s="103" t="s">
        <v>92</v>
      </c>
      <c r="C36" s="112" t="s">
        <v>93</v>
      </c>
      <c r="D36" s="138" t="s">
        <v>42</v>
      </c>
      <c r="E36" s="113">
        <v>25569.37553474537</v>
      </c>
      <c r="F36" s="113">
        <v>25569.375534791667</v>
      </c>
      <c r="G36" s="114">
        <f>NETWORKDAYS(E36,F36)</f>
      </c>
      <c r="H36" s="115">
        <v>0</v>
      </c>
      <c r="I36" s="45"/>
      <c r="J36" s="45"/>
      <c r="K36" s="45"/>
      <c r="L36" s="45"/>
      <c r="M36" s="45"/>
      <c r="N36" s="45"/>
      <c r="O36" s="45"/>
      <c r="P36" s="46"/>
      <c r="Q36" s="45"/>
      <c r="R36" s="45"/>
      <c r="S36" s="45"/>
      <c r="T36" s="45"/>
      <c r="U36" s="45"/>
      <c r="V36" s="45"/>
      <c r="W36" s="45"/>
      <c r="X36" s="139"/>
      <c r="Y36" s="139"/>
      <c r="Z36" s="139"/>
      <c r="AA36" s="139"/>
      <c r="AB36" s="139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</row>
    <row x14ac:dyDescent="0.25" r="37" customHeight="1" ht="21" outlineLevel="1">
      <c r="A37" s="40"/>
      <c r="B37" s="103" t="s">
        <v>94</v>
      </c>
      <c r="C37" s="112" t="s">
        <v>95</v>
      </c>
      <c r="D37" s="138" t="s">
        <v>42</v>
      </c>
      <c r="E37" s="113">
        <v>25569.375534780094</v>
      </c>
      <c r="F37" s="113">
        <v>25569.375534837964</v>
      </c>
      <c r="G37" s="114">
        <f>NETWORKDAYS(E37,F37)</f>
      </c>
      <c r="H37" s="115">
        <v>0</v>
      </c>
      <c r="I37" s="45"/>
      <c r="J37" s="45"/>
      <c r="K37" s="45"/>
      <c r="L37" s="45"/>
      <c r="M37" s="45"/>
      <c r="N37" s="45"/>
      <c r="O37" s="45"/>
      <c r="P37" s="46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139"/>
      <c r="AB37" s="139"/>
      <c r="AC37" s="139"/>
      <c r="AD37" s="139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</row>
    <row x14ac:dyDescent="0.25" r="38" customHeight="1" ht="21" outlineLevel="1">
      <c r="A38" s="40"/>
      <c r="B38" s="140" t="s">
        <v>96</v>
      </c>
      <c r="C38" s="141" t="s">
        <v>97</v>
      </c>
      <c r="D38" s="140"/>
      <c r="E38" s="142"/>
      <c r="F38" s="142"/>
      <c r="G38" s="143"/>
      <c r="H38" s="144"/>
      <c r="I38" s="140"/>
      <c r="J38" s="140"/>
      <c r="K38" s="140"/>
      <c r="L38" s="140"/>
      <c r="M38" s="140"/>
      <c r="N38" s="140"/>
      <c r="O38" s="140"/>
      <c r="P38" s="145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0"/>
      <c r="BC38" s="140"/>
      <c r="BD38" s="140"/>
      <c r="BE38" s="140"/>
      <c r="BF38" s="140"/>
      <c r="BG38" s="140"/>
      <c r="BH38" s="140"/>
      <c r="BI38" s="140"/>
      <c r="BJ38" s="140"/>
      <c r="BK38" s="140"/>
      <c r="BL38" s="140"/>
      <c r="BM38" s="140"/>
      <c r="BN38" s="140"/>
      <c r="BO38" s="140"/>
      <c r="BP38" s="140"/>
      <c r="BQ38" s="45"/>
    </row>
    <row x14ac:dyDescent="0.25" r="39" customHeight="1" ht="29.25" outlineLevel="1">
      <c r="A39" s="146"/>
      <c r="B39" s="103" t="s">
        <v>98</v>
      </c>
      <c r="C39" s="147" t="s">
        <v>99</v>
      </c>
      <c r="D39" s="138" t="s">
        <v>64</v>
      </c>
      <c r="E39" s="113">
        <v>25569.3755346875</v>
      </c>
      <c r="F39" s="113">
        <v>25569.375534791667</v>
      </c>
      <c r="G39" s="114">
        <f>NETWORKDAYS(E39,F39)</f>
      </c>
      <c r="H39" s="115">
        <v>0</v>
      </c>
      <c r="I39" s="54"/>
      <c r="J39" s="54"/>
      <c r="K39" s="54"/>
      <c r="L39" s="54"/>
      <c r="M39" s="54"/>
      <c r="N39" s="54"/>
      <c r="O39" s="54"/>
      <c r="P39" s="55"/>
      <c r="Q39" s="54"/>
      <c r="R39" s="54"/>
      <c r="S39" s="54"/>
      <c r="T39" s="54"/>
      <c r="U39" s="148"/>
      <c r="V39" s="148"/>
      <c r="W39" s="148"/>
      <c r="X39" s="148"/>
      <c r="Y39" s="148"/>
      <c r="Z39" s="148"/>
      <c r="AA39" s="148"/>
      <c r="AB39" s="148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</row>
    <row x14ac:dyDescent="0.25" r="40" customHeight="1" ht="29.25" outlineLevel="1">
      <c r="A40" s="146"/>
      <c r="B40" s="103" t="s">
        <v>100</v>
      </c>
      <c r="C40" s="147" t="s">
        <v>101</v>
      </c>
      <c r="D40" s="138" t="s">
        <v>64</v>
      </c>
      <c r="E40" s="113">
        <v>25569.3755346875</v>
      </c>
      <c r="F40" s="113">
        <v>25569.375534791667</v>
      </c>
      <c r="G40" s="114">
        <f>NETWORKDAYS(E40,F40)</f>
      </c>
      <c r="H40" s="115">
        <v>0</v>
      </c>
      <c r="I40" s="54"/>
      <c r="J40" s="54"/>
      <c r="K40" s="54"/>
      <c r="L40" s="54"/>
      <c r="M40" s="54"/>
      <c r="N40" s="54"/>
      <c r="O40" s="54"/>
      <c r="P40" s="55"/>
      <c r="Q40" s="54"/>
      <c r="R40" s="54"/>
      <c r="S40" s="54"/>
      <c r="T40" s="54"/>
      <c r="U40" s="148"/>
      <c r="V40" s="148"/>
      <c r="W40" s="148"/>
      <c r="X40" s="148"/>
      <c r="Y40" s="148"/>
      <c r="Z40" s="148"/>
      <c r="AA40" s="148"/>
      <c r="AB40" s="148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</row>
    <row x14ac:dyDescent="0.25" r="41" customHeight="1" ht="29.25" outlineLevel="1">
      <c r="A41" s="146"/>
      <c r="B41" s="103" t="s">
        <v>102</v>
      </c>
      <c r="C41" s="147" t="s">
        <v>103</v>
      </c>
      <c r="D41" s="138" t="s">
        <v>64</v>
      </c>
      <c r="E41" s="113">
        <v>25569.3755346875</v>
      </c>
      <c r="F41" s="113">
        <v>25569.375534872685</v>
      </c>
      <c r="G41" s="114">
        <f>NETWORKDAYS(E41,F41)</f>
      </c>
      <c r="H41" s="115">
        <v>0</v>
      </c>
      <c r="I41" s="54"/>
      <c r="J41" s="54"/>
      <c r="K41" s="54"/>
      <c r="L41" s="54"/>
      <c r="M41" s="54"/>
      <c r="N41" s="54"/>
      <c r="O41" s="54"/>
      <c r="P41" s="55"/>
      <c r="Q41" s="54"/>
      <c r="R41" s="54"/>
      <c r="S41" s="54"/>
      <c r="T41" s="54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</row>
    <row x14ac:dyDescent="0.25" r="42" customHeight="1" ht="29.25" outlineLevel="1">
      <c r="A42" s="146"/>
      <c r="B42" s="103" t="s">
        <v>104</v>
      </c>
      <c r="C42" s="147" t="s">
        <v>105</v>
      </c>
      <c r="D42" s="138" t="s">
        <v>64</v>
      </c>
      <c r="E42" s="113">
        <v>25569.3755346875</v>
      </c>
      <c r="F42" s="113">
        <v>25569.375534872685</v>
      </c>
      <c r="G42" s="114">
        <f>NETWORKDAYS(E42,F42)</f>
      </c>
      <c r="H42" s="115">
        <v>0</v>
      </c>
      <c r="I42" s="54"/>
      <c r="J42" s="54"/>
      <c r="K42" s="54"/>
      <c r="L42" s="54"/>
      <c r="M42" s="54"/>
      <c r="N42" s="54"/>
      <c r="O42" s="54"/>
      <c r="P42" s="55"/>
      <c r="Q42" s="54"/>
      <c r="R42" s="54"/>
      <c r="S42" s="54"/>
      <c r="T42" s="54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  <c r="AE42" s="148"/>
      <c r="AF42" s="148"/>
      <c r="AG42" s="148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</row>
    <row x14ac:dyDescent="0.25" r="43" customHeight="1" ht="29.25" outlineLevel="1">
      <c r="A43" s="146"/>
      <c r="B43" s="103" t="s">
        <v>106</v>
      </c>
      <c r="C43" s="147" t="s">
        <v>107</v>
      </c>
      <c r="D43" s="138" t="s">
        <v>73</v>
      </c>
      <c r="E43" s="113">
        <v>25569.3755346875</v>
      </c>
      <c r="F43" s="113">
        <v>25569.375534699073</v>
      </c>
      <c r="G43" s="114">
        <f>NETWORKDAYS(E43,F43)</f>
      </c>
      <c r="H43" s="115">
        <v>0</v>
      </c>
      <c r="I43" s="54"/>
      <c r="J43" s="54"/>
      <c r="K43" s="54"/>
      <c r="L43" s="54"/>
      <c r="M43" s="54"/>
      <c r="N43" s="54"/>
      <c r="O43" s="54"/>
      <c r="P43" s="55"/>
      <c r="Q43" s="54"/>
      <c r="R43" s="54"/>
      <c r="S43" s="54"/>
      <c r="T43" s="54"/>
      <c r="U43" s="148"/>
      <c r="V43" s="148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</row>
    <row x14ac:dyDescent="0.25" r="44" customHeight="1" ht="15.75" outlineLevel="1">
      <c r="A44" s="146"/>
      <c r="B44" s="103" t="s">
        <v>108</v>
      </c>
      <c r="C44" s="147" t="s">
        <v>109</v>
      </c>
      <c r="D44" s="138" t="s">
        <v>73</v>
      </c>
      <c r="E44" s="113">
        <v>25569.375534699073</v>
      </c>
      <c r="F44" s="113">
        <v>25569.37553472222</v>
      </c>
      <c r="G44" s="114">
        <f>NETWORKDAYS(E44,F44)</f>
      </c>
      <c r="H44" s="115">
        <v>0</v>
      </c>
      <c r="I44" s="54"/>
      <c r="J44" s="54"/>
      <c r="K44" s="54"/>
      <c r="L44" s="54"/>
      <c r="M44" s="54"/>
      <c r="N44" s="54"/>
      <c r="O44" s="54"/>
      <c r="P44" s="55"/>
      <c r="Q44" s="54"/>
      <c r="R44" s="54"/>
      <c r="S44" s="54"/>
      <c r="T44" s="54"/>
      <c r="U44" s="54"/>
      <c r="V44" s="148"/>
      <c r="W44" s="148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</row>
    <row x14ac:dyDescent="0.25" r="45" customHeight="1" ht="29.25" outlineLevel="1">
      <c r="A45" s="146"/>
      <c r="B45" s="103" t="s">
        <v>110</v>
      </c>
      <c r="C45" s="147" t="s">
        <v>111</v>
      </c>
      <c r="D45" s="138" t="s">
        <v>64</v>
      </c>
      <c r="E45" s="113">
        <v>25569.37553474537</v>
      </c>
      <c r="F45" s="113">
        <v>25569.375534872685</v>
      </c>
      <c r="G45" s="114">
        <f>NETWORKDAYS(E45,F45)</f>
      </c>
      <c r="H45" s="115">
        <v>0</v>
      </c>
      <c r="I45" s="54"/>
      <c r="J45" s="54"/>
      <c r="K45" s="54"/>
      <c r="L45" s="54"/>
      <c r="M45" s="54"/>
      <c r="N45" s="54"/>
      <c r="O45" s="54"/>
      <c r="P45" s="55"/>
      <c r="Q45" s="54"/>
      <c r="R45" s="54"/>
      <c r="S45" s="54"/>
      <c r="T45" s="54"/>
      <c r="U45" s="54"/>
      <c r="V45" s="54"/>
      <c r="W45" s="54"/>
      <c r="X45" s="148"/>
      <c r="Y45" s="148"/>
      <c r="Z45" s="148"/>
      <c r="AA45" s="148"/>
      <c r="AB45" s="148"/>
      <c r="AC45" s="148"/>
      <c r="AD45" s="148"/>
      <c r="AE45" s="148"/>
      <c r="AF45" s="148"/>
      <c r="AG45" s="148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</row>
    <row x14ac:dyDescent="0.25" r="46" customHeight="1" ht="29.25" outlineLevel="1">
      <c r="A46" s="146"/>
      <c r="B46" s="103" t="s">
        <v>112</v>
      </c>
      <c r="C46" s="112" t="s">
        <v>113</v>
      </c>
      <c r="D46" s="138" t="s">
        <v>47</v>
      </c>
      <c r="E46" s="113">
        <v>25569.375534756946</v>
      </c>
      <c r="F46" s="113">
        <v>25569.375534826388</v>
      </c>
      <c r="G46" s="114">
        <f>NETWORKDAYS(E46,F46)</f>
      </c>
      <c r="H46" s="115">
        <v>0</v>
      </c>
      <c r="I46" s="54"/>
      <c r="J46" s="54"/>
      <c r="K46" s="54"/>
      <c r="L46" s="54"/>
      <c r="M46" s="54"/>
      <c r="N46" s="54"/>
      <c r="O46" s="54"/>
      <c r="P46" s="55"/>
      <c r="Q46" s="54"/>
      <c r="R46" s="54"/>
      <c r="S46" s="54"/>
      <c r="T46" s="54"/>
      <c r="U46" s="54"/>
      <c r="V46" s="54"/>
      <c r="W46" s="54"/>
      <c r="X46" s="54"/>
      <c r="Y46" s="148"/>
      <c r="Z46" s="148"/>
      <c r="AA46" s="148"/>
      <c r="AB46" s="148"/>
      <c r="AC46" s="148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4"/>
      <c r="BJ46" s="54"/>
      <c r="BK46" s="54"/>
      <c r="BL46" s="54"/>
      <c r="BM46" s="54"/>
      <c r="BN46" s="54"/>
      <c r="BO46" s="54"/>
      <c r="BP46" s="54"/>
      <c r="BQ46" s="54"/>
    </row>
    <row x14ac:dyDescent="0.25" r="47" customHeight="1" ht="15.75" outlineLevel="1">
      <c r="A47" s="146"/>
      <c r="B47" s="103" t="s">
        <v>114</v>
      </c>
      <c r="C47" s="147" t="s">
        <v>115</v>
      </c>
      <c r="D47" s="138" t="s">
        <v>64</v>
      </c>
      <c r="E47" s="113">
        <v>25569.37553476852</v>
      </c>
      <c r="F47" s="113">
        <v>25569.375534872685</v>
      </c>
      <c r="G47" s="114">
        <f>NETWORKDAYS(E47,F47)</f>
      </c>
      <c r="H47" s="115">
        <v>0</v>
      </c>
      <c r="I47" s="54"/>
      <c r="J47" s="54"/>
      <c r="K47" s="54"/>
      <c r="L47" s="54"/>
      <c r="M47" s="54"/>
      <c r="N47" s="54"/>
      <c r="O47" s="54"/>
      <c r="P47" s="55"/>
      <c r="Q47" s="54"/>
      <c r="R47" s="54"/>
      <c r="S47" s="54"/>
      <c r="T47" s="54"/>
      <c r="U47" s="54"/>
      <c r="V47" s="54"/>
      <c r="W47" s="54"/>
      <c r="X47" s="54"/>
      <c r="Y47" s="54"/>
      <c r="Z47" s="148"/>
      <c r="AA47" s="148"/>
      <c r="AB47" s="148"/>
      <c r="AC47" s="148"/>
      <c r="AD47" s="148"/>
      <c r="AE47" s="148"/>
      <c r="AF47" s="148"/>
      <c r="AG47" s="148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</row>
    <row x14ac:dyDescent="0.25" r="48" customHeight="1" ht="15.75" outlineLevel="1">
      <c r="A48" s="146"/>
      <c r="B48" s="103" t="s">
        <v>116</v>
      </c>
      <c r="C48" s="147" t="s">
        <v>117</v>
      </c>
      <c r="D48" s="138" t="s">
        <v>73</v>
      </c>
      <c r="E48" s="113">
        <v>25569.37553476852</v>
      </c>
      <c r="F48" s="113">
        <v>25569.375534791667</v>
      </c>
      <c r="G48" s="114">
        <f>NETWORKDAYS(E48,F48)</f>
      </c>
      <c r="H48" s="115">
        <v>0</v>
      </c>
      <c r="I48" s="54"/>
      <c r="J48" s="54"/>
      <c r="K48" s="54"/>
      <c r="L48" s="54"/>
      <c r="M48" s="54"/>
      <c r="N48" s="54"/>
      <c r="O48" s="54"/>
      <c r="P48" s="55"/>
      <c r="Q48" s="54"/>
      <c r="R48" s="54"/>
      <c r="S48" s="54"/>
      <c r="T48" s="54"/>
      <c r="U48" s="54"/>
      <c r="V48" s="54"/>
      <c r="W48" s="54"/>
      <c r="X48" s="54"/>
      <c r="Y48" s="54"/>
      <c r="Z48" s="148"/>
      <c r="AA48" s="148"/>
      <c r="AB48" s="148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</row>
    <row x14ac:dyDescent="0.25" r="49" customHeight="1" ht="29.25" outlineLevel="1">
      <c r="A49" s="146"/>
      <c r="B49" s="103" t="s">
        <v>118</v>
      </c>
      <c r="C49" s="147" t="s">
        <v>119</v>
      </c>
      <c r="D49" s="138" t="s">
        <v>47</v>
      </c>
      <c r="E49" s="113">
        <v>25569.375534780094</v>
      </c>
      <c r="F49" s="113">
        <v>25569.375534849536</v>
      </c>
      <c r="G49" s="114">
        <f>NETWORKDAYS(E49,F49)</f>
      </c>
      <c r="H49" s="115">
        <v>0</v>
      </c>
      <c r="I49" s="54"/>
      <c r="J49" s="54"/>
      <c r="K49" s="54"/>
      <c r="L49" s="54"/>
      <c r="M49" s="54"/>
      <c r="N49" s="54"/>
      <c r="O49" s="54"/>
      <c r="P49" s="55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148"/>
      <c r="AB49" s="148"/>
      <c r="AC49" s="148"/>
      <c r="AD49" s="148"/>
      <c r="AE49" s="148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</row>
    <row x14ac:dyDescent="0.25" r="50" customHeight="1" ht="15.75" outlineLevel="1">
      <c r="A50" s="146"/>
      <c r="B50" s="103" t="s">
        <v>120</v>
      </c>
      <c r="C50" s="147" t="s">
        <v>121</v>
      </c>
      <c r="D50" s="138" t="s">
        <v>73</v>
      </c>
      <c r="E50" s="113">
        <v>25569.375534791667</v>
      </c>
      <c r="F50" s="113">
        <v>25569.375534826388</v>
      </c>
      <c r="G50" s="114">
        <f>NETWORKDAYS(E50,F50)</f>
      </c>
      <c r="H50" s="115">
        <v>0</v>
      </c>
      <c r="I50" s="54"/>
      <c r="J50" s="54"/>
      <c r="K50" s="54"/>
      <c r="L50" s="54"/>
      <c r="M50" s="54"/>
      <c r="N50" s="54"/>
      <c r="O50" s="54"/>
      <c r="P50" s="55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148"/>
      <c r="AC50" s="148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</row>
    <row x14ac:dyDescent="0.25" r="51" customHeight="1" ht="29.25" outlineLevel="1">
      <c r="A51" s="146"/>
      <c r="B51" s="103" t="s">
        <v>122</v>
      </c>
      <c r="C51" s="147" t="s">
        <v>123</v>
      </c>
      <c r="D51" s="138" t="s">
        <v>64</v>
      </c>
      <c r="E51" s="113">
        <v>25569.375534826388</v>
      </c>
      <c r="F51" s="113">
        <v>25569.375534872685</v>
      </c>
      <c r="G51" s="114">
        <f>NETWORKDAYS(E51,F51)</f>
      </c>
      <c r="H51" s="115">
        <v>0</v>
      </c>
      <c r="I51" s="54"/>
      <c r="J51" s="54"/>
      <c r="K51" s="54"/>
      <c r="L51" s="54"/>
      <c r="M51" s="54"/>
      <c r="N51" s="54"/>
      <c r="O51" s="54"/>
      <c r="P51" s="55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148"/>
      <c r="AD51" s="148"/>
      <c r="AE51" s="148"/>
      <c r="AF51" s="148"/>
      <c r="AG51" s="148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</row>
    <row x14ac:dyDescent="0.25" r="52" customHeight="1" ht="29.25" outlineLevel="1">
      <c r="A52" s="146"/>
      <c r="B52" s="103" t="s">
        <v>124</v>
      </c>
      <c r="C52" s="147" t="s">
        <v>125</v>
      </c>
      <c r="D52" s="138" t="s">
        <v>73</v>
      </c>
      <c r="E52" s="113">
        <v>25569.375534826388</v>
      </c>
      <c r="F52" s="113">
        <v>25569.375534837964</v>
      </c>
      <c r="G52" s="114">
        <f>NETWORKDAYS(E52,F52)</f>
      </c>
      <c r="H52" s="115">
        <v>0</v>
      </c>
      <c r="I52" s="54"/>
      <c r="J52" s="54"/>
      <c r="K52" s="54"/>
      <c r="L52" s="54"/>
      <c r="M52" s="54"/>
      <c r="N52" s="54"/>
      <c r="O52" s="54"/>
      <c r="P52" s="55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148"/>
      <c r="AD52" s="148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</row>
    <row x14ac:dyDescent="0.25" r="53" customHeight="1" ht="29.25" outlineLevel="1">
      <c r="A53" s="146"/>
      <c r="B53" s="103" t="s">
        <v>126</v>
      </c>
      <c r="C53" s="147" t="s">
        <v>127</v>
      </c>
      <c r="D53" s="138" t="s">
        <v>47</v>
      </c>
      <c r="E53" s="113">
        <v>25569.375534826388</v>
      </c>
      <c r="F53" s="113">
        <v>25569.375534872685</v>
      </c>
      <c r="G53" s="114">
        <f>NETWORKDAYS(E53,F53)</f>
      </c>
      <c r="H53" s="115">
        <v>0</v>
      </c>
      <c r="I53" s="54"/>
      <c r="J53" s="54"/>
      <c r="K53" s="54"/>
      <c r="L53" s="54"/>
      <c r="M53" s="54"/>
      <c r="N53" s="54"/>
      <c r="O53" s="54"/>
      <c r="P53" s="55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148"/>
      <c r="AD53" s="148"/>
      <c r="AE53" s="148"/>
      <c r="AF53" s="148"/>
      <c r="AG53" s="148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</row>
    <row x14ac:dyDescent="0.25" r="54" customHeight="1" ht="29.25" outlineLevel="1">
      <c r="A54" s="146"/>
      <c r="B54" s="103" t="s">
        <v>128</v>
      </c>
      <c r="C54" s="147" t="s">
        <v>129</v>
      </c>
      <c r="D54" s="138" t="s">
        <v>73</v>
      </c>
      <c r="E54" s="113">
        <v>25569.375534849536</v>
      </c>
      <c r="F54" s="113">
        <v>25569.375534861112</v>
      </c>
      <c r="G54" s="114">
        <f>NETWORKDAYS(E54,F54)</f>
      </c>
      <c r="H54" s="115">
        <v>0</v>
      </c>
      <c r="I54" s="54"/>
      <c r="J54" s="54"/>
      <c r="K54" s="54"/>
      <c r="L54" s="54"/>
      <c r="M54" s="54"/>
      <c r="N54" s="54"/>
      <c r="O54" s="54"/>
      <c r="P54" s="55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148"/>
      <c r="AF54" s="148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</row>
    <row x14ac:dyDescent="0.25" r="55" customHeight="1" ht="29.25" outlineLevel="1">
      <c r="A55" s="146"/>
      <c r="B55" s="103" t="s">
        <v>130</v>
      </c>
      <c r="C55" s="112" t="s">
        <v>131</v>
      </c>
      <c r="D55" s="138" t="s">
        <v>42</v>
      </c>
      <c r="E55" s="113">
        <v>25569.375534849536</v>
      </c>
      <c r="F55" s="113">
        <v>25569.375534872685</v>
      </c>
      <c r="G55" s="114">
        <f>NETWORKDAYS(E55,F55)</f>
      </c>
      <c r="H55" s="115">
        <v>0</v>
      </c>
      <c r="I55" s="54"/>
      <c r="J55" s="54"/>
      <c r="K55" s="54"/>
      <c r="L55" s="54"/>
      <c r="M55" s="54"/>
      <c r="N55" s="54"/>
      <c r="O55" s="54"/>
      <c r="P55" s="55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148"/>
      <c r="AF55" s="148"/>
      <c r="AG55" s="148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</row>
    <row x14ac:dyDescent="0.25" r="56" customHeight="1" ht="29.25" outlineLevel="1">
      <c r="A56" s="146"/>
      <c r="B56" s="103" t="s">
        <v>132</v>
      </c>
      <c r="C56" s="112" t="s">
        <v>133</v>
      </c>
      <c r="D56" s="138" t="s">
        <v>42</v>
      </c>
      <c r="E56" s="113">
        <v>25569.375534849536</v>
      </c>
      <c r="F56" s="113">
        <v>25569.37553491898</v>
      </c>
      <c r="G56" s="114">
        <f>NETWORKDAYS(E56,F56)</f>
      </c>
      <c r="H56" s="115">
        <v>0</v>
      </c>
      <c r="I56" s="54"/>
      <c r="J56" s="54"/>
      <c r="K56" s="54"/>
      <c r="L56" s="54"/>
      <c r="M56" s="54"/>
      <c r="N56" s="54"/>
      <c r="O56" s="54"/>
      <c r="P56" s="55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148"/>
      <c r="AF56" s="148"/>
      <c r="AG56" s="148"/>
      <c r="AH56" s="148"/>
      <c r="AI56" s="148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</row>
    <row x14ac:dyDescent="0.25" r="57" customHeight="1" ht="15.75" outlineLevel="1">
      <c r="A57" s="146"/>
      <c r="B57" s="103" t="s">
        <v>134</v>
      </c>
      <c r="C57" s="147" t="s">
        <v>135</v>
      </c>
      <c r="D57" s="138" t="s">
        <v>73</v>
      </c>
      <c r="E57" s="113">
        <v>25569.375534872685</v>
      </c>
      <c r="F57" s="113">
        <v>25569.375534895833</v>
      </c>
      <c r="G57" s="114">
        <f>NETWORKDAYS(E57,F57)</f>
      </c>
      <c r="H57" s="115">
        <v>0</v>
      </c>
      <c r="I57" s="54"/>
      <c r="J57" s="54"/>
      <c r="K57" s="54"/>
      <c r="L57" s="54"/>
      <c r="M57" s="54"/>
      <c r="N57" s="54"/>
      <c r="O57" s="54"/>
      <c r="P57" s="55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148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</row>
    <row x14ac:dyDescent="0.25" r="58" customHeight="1" ht="29.25" outlineLevel="1">
      <c r="A58" s="146"/>
      <c r="B58" s="103" t="s">
        <v>136</v>
      </c>
      <c r="C58" s="112" t="s">
        <v>137</v>
      </c>
      <c r="D58" s="138" t="s">
        <v>47</v>
      </c>
      <c r="E58" s="113">
        <v>25569.37553488426</v>
      </c>
      <c r="F58" s="113">
        <v>25569.375534953702</v>
      </c>
      <c r="G58" s="114">
        <f>NETWORKDAYS(E58,F58)</f>
      </c>
      <c r="H58" s="115">
        <v>0</v>
      </c>
      <c r="I58" s="54"/>
      <c r="J58" s="54"/>
      <c r="K58" s="54"/>
      <c r="L58" s="54"/>
      <c r="M58" s="54"/>
      <c r="N58" s="54"/>
      <c r="O58" s="54"/>
      <c r="P58" s="55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148"/>
      <c r="AI58" s="148"/>
      <c r="AJ58" s="148"/>
      <c r="AK58" s="148"/>
      <c r="AL58" s="148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4"/>
    </row>
    <row x14ac:dyDescent="0.25" r="59" customHeight="1" ht="15.75" outlineLevel="1">
      <c r="A59" s="146"/>
      <c r="B59" s="103" t="s">
        <v>138</v>
      </c>
      <c r="C59" s="147" t="s">
        <v>139</v>
      </c>
      <c r="D59" s="138" t="s">
        <v>73</v>
      </c>
      <c r="E59" s="113">
        <v>25569.375534895833</v>
      </c>
      <c r="F59" s="113">
        <v>25569.37553491898</v>
      </c>
      <c r="G59" s="114">
        <f>NETWORKDAYS(E59,F59)</f>
      </c>
      <c r="H59" s="115">
        <v>0</v>
      </c>
      <c r="I59" s="54"/>
      <c r="J59" s="54"/>
      <c r="K59" s="54"/>
      <c r="L59" s="54"/>
      <c r="M59" s="54"/>
      <c r="N59" s="54"/>
      <c r="O59" s="54"/>
      <c r="P59" s="55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148"/>
      <c r="AI59" s="148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</row>
    <row x14ac:dyDescent="0.25" r="60" customHeight="1" ht="29.25" outlineLevel="1">
      <c r="A60" s="146"/>
      <c r="B60" s="103" t="s">
        <v>140</v>
      </c>
      <c r="C60" s="147" t="s">
        <v>141</v>
      </c>
      <c r="D60" s="138" t="s">
        <v>64</v>
      </c>
      <c r="E60" s="113">
        <v>25569.37553490741</v>
      </c>
      <c r="F60" s="113">
        <v>25569.375534953702</v>
      </c>
      <c r="G60" s="114">
        <f>NETWORKDAYS(E60,F60)</f>
      </c>
      <c r="H60" s="115">
        <v>0</v>
      </c>
      <c r="I60" s="54"/>
      <c r="J60" s="54"/>
      <c r="K60" s="54"/>
      <c r="L60" s="54"/>
      <c r="M60" s="54"/>
      <c r="N60" s="54"/>
      <c r="O60" s="54"/>
      <c r="P60" s="55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148"/>
      <c r="AI60" s="148"/>
      <c r="AJ60" s="148"/>
      <c r="AK60" s="148"/>
      <c r="AL60" s="148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4"/>
      <c r="BK60" s="54"/>
      <c r="BL60" s="54"/>
      <c r="BM60" s="54"/>
      <c r="BN60" s="54"/>
      <c r="BO60" s="54"/>
      <c r="BP60" s="54"/>
      <c r="BQ60" s="54"/>
    </row>
    <row x14ac:dyDescent="0.25" r="61" customHeight="1" ht="29.25" outlineLevel="1">
      <c r="A61" s="146"/>
      <c r="B61" s="103" t="s">
        <v>142</v>
      </c>
      <c r="C61" s="147" t="s">
        <v>143</v>
      </c>
      <c r="D61" s="138" t="s">
        <v>64</v>
      </c>
      <c r="E61" s="113">
        <v>25569.37553490741</v>
      </c>
      <c r="F61" s="113">
        <v>25569.375534953702</v>
      </c>
      <c r="G61" s="114">
        <f>NETWORKDAYS(E61,F61)</f>
      </c>
      <c r="H61" s="115">
        <v>0</v>
      </c>
      <c r="I61" s="54"/>
      <c r="J61" s="54"/>
      <c r="K61" s="54"/>
      <c r="L61" s="54"/>
      <c r="M61" s="54"/>
      <c r="N61" s="54"/>
      <c r="O61" s="54"/>
      <c r="P61" s="55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148"/>
      <c r="AI61" s="148"/>
      <c r="AJ61" s="148"/>
      <c r="AK61" s="148"/>
      <c r="AL61" s="148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4"/>
      <c r="BK61" s="54"/>
      <c r="BL61" s="54"/>
      <c r="BM61" s="54"/>
      <c r="BN61" s="54"/>
      <c r="BO61" s="54"/>
      <c r="BP61" s="54"/>
      <c r="BQ61" s="54"/>
    </row>
    <row x14ac:dyDescent="0.25" r="62" customHeight="1" ht="29.25" outlineLevel="1">
      <c r="A62" s="146"/>
      <c r="B62" s="103" t="s">
        <v>144</v>
      </c>
      <c r="C62" s="112" t="s">
        <v>145</v>
      </c>
      <c r="D62" s="138" t="s">
        <v>64</v>
      </c>
      <c r="E62" s="113">
        <v>25569.37553490741</v>
      </c>
      <c r="F62" s="113">
        <v>25569.375535034724</v>
      </c>
      <c r="G62" s="114">
        <f>NETWORKDAYS(E62,F62)</f>
      </c>
      <c r="H62" s="115">
        <v>0</v>
      </c>
      <c r="I62" s="54"/>
      <c r="J62" s="54"/>
      <c r="K62" s="54"/>
      <c r="L62" s="54"/>
      <c r="M62" s="54"/>
      <c r="N62" s="54"/>
      <c r="O62" s="54"/>
      <c r="P62" s="55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148"/>
      <c r="AI62" s="148"/>
      <c r="AJ62" s="148"/>
      <c r="AK62" s="148"/>
      <c r="AL62" s="148"/>
      <c r="AM62" s="148"/>
      <c r="AN62" s="148"/>
      <c r="AO62" s="148"/>
      <c r="AP62" s="148"/>
      <c r="AQ62" s="148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</row>
    <row x14ac:dyDescent="0.25" r="63" customHeight="1" ht="29.25" outlineLevel="1">
      <c r="A63" s="146"/>
      <c r="B63" s="103" t="s">
        <v>146</v>
      </c>
      <c r="C63" s="112" t="s">
        <v>147</v>
      </c>
      <c r="D63" s="138" t="s">
        <v>42</v>
      </c>
      <c r="E63" s="113">
        <v>25569.37553490741</v>
      </c>
      <c r="F63" s="113">
        <v>25569.37553494213</v>
      </c>
      <c r="G63" s="114">
        <f>NETWORKDAYS(E63,F63)</f>
      </c>
      <c r="H63" s="115">
        <v>0</v>
      </c>
      <c r="I63" s="54"/>
      <c r="J63" s="54"/>
      <c r="K63" s="54"/>
      <c r="L63" s="54"/>
      <c r="M63" s="54"/>
      <c r="N63" s="54"/>
      <c r="O63" s="54"/>
      <c r="P63" s="55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148"/>
      <c r="AI63" s="148"/>
      <c r="AJ63" s="148"/>
      <c r="AK63" s="148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</row>
    <row x14ac:dyDescent="0.25" r="64" customHeight="1" ht="15.75" outlineLevel="1">
      <c r="A64" s="146"/>
      <c r="B64" s="103" t="s">
        <v>148</v>
      </c>
      <c r="C64" s="147" t="s">
        <v>149</v>
      </c>
      <c r="D64" s="138" t="s">
        <v>73</v>
      </c>
      <c r="E64" s="113">
        <v>25569.37553491898</v>
      </c>
      <c r="F64" s="113">
        <v>25569.37553494213</v>
      </c>
      <c r="G64" s="114">
        <f>NETWORKDAYS(E64,F64)</f>
      </c>
      <c r="H64" s="115">
        <v>0</v>
      </c>
      <c r="I64" s="54"/>
      <c r="J64" s="54"/>
      <c r="K64" s="54"/>
      <c r="L64" s="54"/>
      <c r="M64" s="54"/>
      <c r="N64" s="54"/>
      <c r="O64" s="54"/>
      <c r="P64" s="55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148"/>
      <c r="AJ64" s="148"/>
      <c r="AK64" s="148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</row>
    <row x14ac:dyDescent="0.25" r="65" customHeight="1" ht="29.25" outlineLevel="1">
      <c r="A65" s="146"/>
      <c r="B65" s="103" t="s">
        <v>150</v>
      </c>
      <c r="C65" s="112" t="s">
        <v>151</v>
      </c>
      <c r="D65" s="138" t="s">
        <v>42</v>
      </c>
      <c r="E65" s="113">
        <v>25569.37553491898</v>
      </c>
      <c r="F65" s="113">
        <v>25569.375535</v>
      </c>
      <c r="G65" s="114">
        <f>NETWORKDAYS(E65,F65)</f>
      </c>
      <c r="H65" s="115">
        <v>0</v>
      </c>
      <c r="I65" s="54"/>
      <c r="J65" s="54"/>
      <c r="K65" s="54"/>
      <c r="L65" s="54"/>
      <c r="M65" s="54"/>
      <c r="N65" s="54"/>
      <c r="O65" s="54"/>
      <c r="P65" s="55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148"/>
      <c r="AJ65" s="148"/>
      <c r="AK65" s="148"/>
      <c r="AL65" s="148"/>
      <c r="AM65" s="148"/>
      <c r="AN65" s="148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</row>
    <row x14ac:dyDescent="0.25" r="66" customHeight="1" ht="29.25" outlineLevel="1">
      <c r="A66" s="146"/>
      <c r="B66" s="103" t="s">
        <v>152</v>
      </c>
      <c r="C66" s="147" t="s">
        <v>153</v>
      </c>
      <c r="D66" s="138" t="s">
        <v>73</v>
      </c>
      <c r="E66" s="113">
        <v>25569.37553494213</v>
      </c>
      <c r="F66" s="113">
        <v>25569.375534953702</v>
      </c>
      <c r="G66" s="114">
        <f>NETWORKDAYS(E66,F66)</f>
      </c>
      <c r="H66" s="115">
        <v>0</v>
      </c>
      <c r="I66" s="54"/>
      <c r="J66" s="54"/>
      <c r="K66" s="54"/>
      <c r="L66" s="54"/>
      <c r="M66" s="54"/>
      <c r="N66" s="54"/>
      <c r="O66" s="54"/>
      <c r="P66" s="55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148"/>
      <c r="AL66" s="148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</row>
    <row x14ac:dyDescent="0.25" r="67" customHeight="1" ht="15.75" outlineLevel="1">
      <c r="A67" s="146"/>
      <c r="B67" s="103" t="s">
        <v>154</v>
      </c>
      <c r="C67" s="147" t="s">
        <v>155</v>
      </c>
      <c r="D67" s="138" t="s">
        <v>47</v>
      </c>
      <c r="E67" s="113">
        <v>25569.37553494213</v>
      </c>
      <c r="F67" s="113">
        <v>25569.375534988427</v>
      </c>
      <c r="G67" s="114">
        <f>NETWORKDAYS(E67,F67)</f>
      </c>
      <c r="H67" s="115">
        <v>0</v>
      </c>
      <c r="I67" s="54"/>
      <c r="J67" s="54"/>
      <c r="K67" s="54"/>
      <c r="L67" s="54"/>
      <c r="M67" s="54"/>
      <c r="N67" s="54"/>
      <c r="O67" s="54"/>
      <c r="P67" s="55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148"/>
      <c r="AL67" s="148"/>
      <c r="AM67" s="148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</row>
    <row x14ac:dyDescent="0.25" r="68" customHeight="1" ht="29.25" outlineLevel="1">
      <c r="A68" s="146"/>
      <c r="B68" s="103" t="s">
        <v>156</v>
      </c>
      <c r="C68" s="112" t="s">
        <v>157</v>
      </c>
      <c r="D68" s="138" t="s">
        <v>42</v>
      </c>
      <c r="E68" s="113">
        <v>25569.37553494213</v>
      </c>
      <c r="F68" s="113">
        <v>25569.375535023148</v>
      </c>
      <c r="G68" s="114">
        <f>NETWORKDAYS(E68,F68)</f>
      </c>
      <c r="H68" s="115">
        <v>0</v>
      </c>
      <c r="I68" s="54"/>
      <c r="J68" s="54"/>
      <c r="K68" s="54"/>
      <c r="L68" s="54"/>
      <c r="M68" s="54"/>
      <c r="N68" s="54"/>
      <c r="O68" s="54"/>
      <c r="P68" s="55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148"/>
      <c r="AL68" s="148"/>
      <c r="AM68" s="148"/>
      <c r="AN68" s="148"/>
      <c r="AO68" s="148"/>
      <c r="AP68" s="148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</row>
    <row x14ac:dyDescent="0.25" r="69" customHeight="1" ht="15.75" outlineLevel="1">
      <c r="A69" s="146"/>
      <c r="B69" s="103" t="s">
        <v>158</v>
      </c>
      <c r="C69" s="147" t="s">
        <v>159</v>
      </c>
      <c r="D69" s="138" t="s">
        <v>64</v>
      </c>
      <c r="E69" s="113">
        <v>25569.375534953702</v>
      </c>
      <c r="F69" s="113">
        <v>25569.375535034724</v>
      </c>
      <c r="G69" s="114">
        <f>NETWORKDAYS(E69,F69)</f>
      </c>
      <c r="H69" s="115">
        <v>0</v>
      </c>
      <c r="I69" s="54"/>
      <c r="J69" s="54"/>
      <c r="K69" s="54"/>
      <c r="L69" s="54"/>
      <c r="M69" s="54"/>
      <c r="N69" s="54"/>
      <c r="O69" s="54"/>
      <c r="P69" s="55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148"/>
      <c r="AM69" s="148"/>
      <c r="AN69" s="148"/>
      <c r="AO69" s="148"/>
      <c r="AP69" s="148"/>
      <c r="AQ69" s="148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4"/>
    </row>
    <row x14ac:dyDescent="0.25" r="70" customHeight="1" ht="15.75" outlineLevel="1">
      <c r="A70" s="146"/>
      <c r="B70" s="103" t="s">
        <v>160</v>
      </c>
      <c r="C70" s="112" t="s">
        <v>161</v>
      </c>
      <c r="D70" s="138" t="s">
        <v>73</v>
      </c>
      <c r="E70" s="113">
        <v>25569.37553496528</v>
      </c>
      <c r="F70" s="113">
        <v>25569.37553497685</v>
      </c>
      <c r="G70" s="114">
        <f>NETWORKDAYS(E70,F70)</f>
      </c>
      <c r="H70" s="115">
        <v>0</v>
      </c>
      <c r="I70" s="54"/>
      <c r="J70" s="54"/>
      <c r="K70" s="54"/>
      <c r="L70" s="54"/>
      <c r="M70" s="54"/>
      <c r="N70" s="54"/>
      <c r="O70" s="54"/>
      <c r="P70" s="55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</row>
    <row x14ac:dyDescent="0.25" r="71" customHeight="1" ht="15.75" outlineLevel="1">
      <c r="A71" s="146"/>
      <c r="B71" s="103" t="s">
        <v>162</v>
      </c>
      <c r="C71" s="147" t="s">
        <v>163</v>
      </c>
      <c r="D71" s="138" t="s">
        <v>73</v>
      </c>
      <c r="E71" s="113">
        <v>25569.37553497685</v>
      </c>
      <c r="F71" s="113">
        <v>25569.375534988427</v>
      </c>
      <c r="G71" s="114">
        <f>NETWORKDAYS(E72,F72)</f>
      </c>
      <c r="H71" s="115">
        <v>0</v>
      </c>
      <c r="I71" s="54"/>
      <c r="J71" s="54"/>
      <c r="K71" s="54"/>
      <c r="L71" s="54"/>
      <c r="M71" s="54"/>
      <c r="N71" s="54"/>
      <c r="O71" s="54"/>
      <c r="P71" s="55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148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4"/>
    </row>
    <row x14ac:dyDescent="0.25" r="72" customHeight="1" ht="26.25" outlineLevel="1">
      <c r="A72" s="146"/>
      <c r="B72" s="103" t="s">
        <v>164</v>
      </c>
      <c r="C72" s="147" t="s">
        <v>165</v>
      </c>
      <c r="D72" s="138" t="s">
        <v>64</v>
      </c>
      <c r="E72" s="113">
        <v>25569.375534988427</v>
      </c>
      <c r="F72" s="113">
        <v>25569.375535034724</v>
      </c>
      <c r="G72" s="114">
        <f>NETWORKDAYS(E73,F73)</f>
      </c>
      <c r="H72" s="115">
        <v>0</v>
      </c>
      <c r="I72" s="54"/>
      <c r="J72" s="54"/>
      <c r="K72" s="54"/>
      <c r="L72" s="54"/>
      <c r="M72" s="54"/>
      <c r="N72" s="54"/>
      <c r="O72" s="54"/>
      <c r="P72" s="55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148"/>
      <c r="AN72" s="148"/>
      <c r="AO72" s="148"/>
      <c r="AP72" s="148"/>
      <c r="AQ72" s="148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</row>
    <row x14ac:dyDescent="0.25" r="73" customHeight="1" ht="29.25" outlineLevel="1">
      <c r="A73" s="146"/>
      <c r="B73" s="103" t="s">
        <v>166</v>
      </c>
      <c r="C73" s="147" t="s">
        <v>167</v>
      </c>
      <c r="D73" s="138" t="s">
        <v>73</v>
      </c>
      <c r="E73" s="113">
        <v>25569.375534988427</v>
      </c>
      <c r="F73" s="113">
        <v>25569.375535</v>
      </c>
      <c r="G73" s="114">
        <f>NETWORKDAYS(E74,F74)</f>
      </c>
      <c r="H73" s="115">
        <v>0</v>
      </c>
      <c r="I73" s="54"/>
      <c r="J73" s="54"/>
      <c r="K73" s="54"/>
      <c r="L73" s="54"/>
      <c r="M73" s="54"/>
      <c r="N73" s="54"/>
      <c r="O73" s="54"/>
      <c r="P73" s="55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148"/>
      <c r="AN73" s="148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</row>
    <row x14ac:dyDescent="0.25" r="74" customHeight="1" ht="29.25" outlineLevel="1">
      <c r="A74" s="146"/>
      <c r="B74" s="103" t="s">
        <v>168</v>
      </c>
      <c r="C74" s="112" t="s">
        <v>169</v>
      </c>
      <c r="D74" s="138" t="s">
        <v>47</v>
      </c>
      <c r="E74" s="113">
        <v>25569.375534988427</v>
      </c>
      <c r="F74" s="113">
        <v>25569.375535034724</v>
      </c>
      <c r="G74" s="114">
        <f>NETWORKDAYS(E75,F75)</f>
      </c>
      <c r="H74" s="115">
        <v>0</v>
      </c>
      <c r="I74" s="54"/>
      <c r="J74" s="54"/>
      <c r="K74" s="54"/>
      <c r="L74" s="54"/>
      <c r="M74" s="54"/>
      <c r="N74" s="54"/>
      <c r="O74" s="54"/>
      <c r="P74" s="55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148"/>
      <c r="AN74" s="148"/>
      <c r="AO74" s="148"/>
      <c r="AP74" s="148"/>
      <c r="AQ74" s="148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</row>
    <row x14ac:dyDescent="0.25" r="75" customHeight="1" ht="29.25" outlineLevel="1">
      <c r="A75" s="146"/>
      <c r="B75" s="103" t="s">
        <v>170</v>
      </c>
      <c r="C75" s="112" t="s">
        <v>171</v>
      </c>
      <c r="D75" s="138" t="s">
        <v>42</v>
      </c>
      <c r="E75" s="113">
        <v>25569.375534988427</v>
      </c>
      <c r="F75" s="113">
        <v>25569.375535034724</v>
      </c>
      <c r="G75" s="114">
        <f>NETWORKDAYS(E76,F76)</f>
      </c>
      <c r="H75" s="115">
        <v>0</v>
      </c>
      <c r="I75" s="54"/>
      <c r="J75" s="54"/>
      <c r="K75" s="54"/>
      <c r="L75" s="54"/>
      <c r="M75" s="54"/>
      <c r="N75" s="54"/>
      <c r="O75" s="54"/>
      <c r="P75" s="55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148"/>
      <c r="AN75" s="148"/>
      <c r="AO75" s="148"/>
      <c r="AP75" s="148"/>
      <c r="AQ75" s="148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</row>
    <row x14ac:dyDescent="0.25" r="76" customHeight="1" ht="29.25" outlineLevel="1">
      <c r="A76" s="146"/>
      <c r="B76" s="103" t="s">
        <v>172</v>
      </c>
      <c r="C76" s="147" t="s">
        <v>173</v>
      </c>
      <c r="D76" s="138" t="s">
        <v>73</v>
      </c>
      <c r="E76" s="113">
        <v>25569.375535</v>
      </c>
      <c r="F76" s="113">
        <v>25569.375535011575</v>
      </c>
      <c r="G76" s="114">
        <f>NETWORKDAYS(E77,F77)</f>
      </c>
      <c r="H76" s="115">
        <v>0</v>
      </c>
      <c r="I76" s="54"/>
      <c r="J76" s="54"/>
      <c r="K76" s="54"/>
      <c r="L76" s="54"/>
      <c r="M76" s="54"/>
      <c r="N76" s="54"/>
      <c r="O76" s="54"/>
      <c r="P76" s="55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148"/>
      <c r="AO76" s="148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</row>
    <row x14ac:dyDescent="0.25" r="77" customHeight="1" ht="15.75" outlineLevel="1">
      <c r="A77" s="146"/>
      <c r="B77" s="103" t="s">
        <v>174</v>
      </c>
      <c r="C77" s="147" t="s">
        <v>175</v>
      </c>
      <c r="D77" s="138" t="s">
        <v>64</v>
      </c>
      <c r="E77" s="113">
        <v>25569.375535034724</v>
      </c>
      <c r="F77" s="113">
        <v>25569.37553511574</v>
      </c>
      <c r="G77" s="114">
        <f>NETWORKDAYS(E78,F78)</f>
      </c>
      <c r="H77" s="115">
        <v>0</v>
      </c>
      <c r="I77" s="54"/>
      <c r="J77" s="54"/>
      <c r="K77" s="54"/>
      <c r="L77" s="54"/>
      <c r="M77" s="54"/>
      <c r="N77" s="54"/>
      <c r="O77" s="54"/>
      <c r="P77" s="55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148"/>
      <c r="AR77" s="148"/>
      <c r="AS77" s="148"/>
      <c r="AT77" s="148"/>
      <c r="AU77" s="148"/>
      <c r="AV77" s="148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4"/>
    </row>
    <row x14ac:dyDescent="0.25" r="78" customHeight="1" ht="29.25" outlineLevel="1">
      <c r="A78" s="146"/>
      <c r="B78" s="103" t="s">
        <v>176</v>
      </c>
      <c r="C78" s="147" t="s">
        <v>177</v>
      </c>
      <c r="D78" s="138" t="s">
        <v>47</v>
      </c>
      <c r="E78" s="113">
        <v>25569.375535046296</v>
      </c>
      <c r="F78" s="113">
        <v>25569.375535104165</v>
      </c>
      <c r="G78" s="114">
        <f>NETWORKDAYS(E79,F79)</f>
      </c>
      <c r="H78" s="115">
        <v>0</v>
      </c>
      <c r="I78" s="54"/>
      <c r="J78" s="54"/>
      <c r="K78" s="54"/>
      <c r="L78" s="54"/>
      <c r="M78" s="54"/>
      <c r="N78" s="54"/>
      <c r="O78" s="54"/>
      <c r="P78" s="55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148"/>
      <c r="AS78" s="148"/>
      <c r="AT78" s="148"/>
      <c r="AU78" s="148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</row>
    <row x14ac:dyDescent="0.25" r="79" customHeight="1" ht="29.25" outlineLevel="1">
      <c r="A79" s="146"/>
      <c r="B79" s="103" t="s">
        <v>178</v>
      </c>
      <c r="C79" s="112" t="s">
        <v>179</v>
      </c>
      <c r="D79" s="138" t="s">
        <v>64</v>
      </c>
      <c r="E79" s="113">
        <v>25569.375535069445</v>
      </c>
      <c r="F79" s="113">
        <v>25569.37553511574</v>
      </c>
      <c r="G79" s="114">
        <f>NETWORKDAYS(E80,F80)</f>
      </c>
      <c r="H79" s="115">
        <v>0</v>
      </c>
      <c r="I79" s="54"/>
      <c r="J79" s="54"/>
      <c r="K79" s="54"/>
      <c r="L79" s="54"/>
      <c r="M79" s="54"/>
      <c r="N79" s="54"/>
      <c r="O79" s="54"/>
      <c r="P79" s="55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148"/>
      <c r="AS79" s="148"/>
      <c r="AT79" s="148"/>
      <c r="AU79" s="148"/>
      <c r="AV79" s="148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</row>
    <row x14ac:dyDescent="0.25" r="80" customHeight="1" ht="15.75" outlineLevel="1">
      <c r="A80" s="146"/>
      <c r="B80" s="140" t="s">
        <v>180</v>
      </c>
      <c r="C80" s="141" t="s">
        <v>181</v>
      </c>
      <c r="D80" s="149"/>
      <c r="E80" s="150"/>
      <c r="F80" s="150"/>
      <c r="G80" s="151"/>
      <c r="H80" s="152"/>
      <c r="I80" s="149"/>
      <c r="J80" s="149"/>
      <c r="K80" s="149"/>
      <c r="L80" s="149"/>
      <c r="M80" s="149"/>
      <c r="N80" s="149"/>
      <c r="O80" s="149"/>
      <c r="P80" s="153"/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9"/>
      <c r="AB80" s="149"/>
      <c r="AC80" s="149"/>
      <c r="AD80" s="149"/>
      <c r="AE80" s="149"/>
      <c r="AF80" s="149"/>
      <c r="AG80" s="149"/>
      <c r="AH80" s="149"/>
      <c r="AI80" s="149"/>
      <c r="AJ80" s="149"/>
      <c r="AK80" s="149"/>
      <c r="AL80" s="149"/>
      <c r="AM80" s="149"/>
      <c r="AN80" s="149"/>
      <c r="AO80" s="149"/>
      <c r="AP80" s="149"/>
      <c r="AQ80" s="149"/>
      <c r="AR80" s="149"/>
      <c r="AS80" s="149"/>
      <c r="AT80" s="149"/>
      <c r="AU80" s="149"/>
      <c r="AV80" s="149"/>
      <c r="AW80" s="149"/>
      <c r="AX80" s="149"/>
      <c r="AY80" s="149"/>
      <c r="AZ80" s="149"/>
      <c r="BA80" s="149"/>
      <c r="BB80" s="149"/>
      <c r="BC80" s="149"/>
      <c r="BD80" s="149"/>
      <c r="BE80" s="149"/>
      <c r="BF80" s="149"/>
      <c r="BG80" s="149"/>
      <c r="BH80" s="149"/>
      <c r="BI80" s="149"/>
      <c r="BJ80" s="149"/>
      <c r="BK80" s="149"/>
      <c r="BL80" s="149"/>
      <c r="BM80" s="149"/>
      <c r="BN80" s="149"/>
      <c r="BO80" s="149"/>
      <c r="BP80" s="149"/>
      <c r="BQ80" s="54"/>
    </row>
    <row x14ac:dyDescent="0.25" r="81" customHeight="1" ht="16.5" outlineLevel="1">
      <c r="A81" s="146"/>
      <c r="B81" s="103" t="s">
        <v>182</v>
      </c>
      <c r="C81" s="112" t="s">
        <v>183</v>
      </c>
      <c r="D81" s="138" t="s">
        <v>64</v>
      </c>
      <c r="E81" s="113">
        <v>25569.375534826388</v>
      </c>
      <c r="F81" s="113">
        <v>25569.375534872685</v>
      </c>
      <c r="G81" s="114">
        <f>NETWORKDAYS(E82,F82)</f>
      </c>
      <c r="H81" s="115">
        <v>0</v>
      </c>
      <c r="I81" s="54"/>
      <c r="J81" s="54"/>
      <c r="K81" s="54"/>
      <c r="L81" s="54"/>
      <c r="M81" s="54"/>
      <c r="N81" s="54"/>
      <c r="O81" s="54"/>
      <c r="P81" s="55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148"/>
      <c r="AD81" s="148"/>
      <c r="AE81" s="148"/>
      <c r="AF81" s="148"/>
      <c r="AG81" s="148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4"/>
    </row>
    <row x14ac:dyDescent="0.25" r="82" customHeight="1" ht="29.25" outlineLevel="1">
      <c r="A82" s="146"/>
      <c r="B82" s="103" t="s">
        <v>184</v>
      </c>
      <c r="C82" s="112" t="s">
        <v>185</v>
      </c>
      <c r="D82" s="138" t="s">
        <v>47</v>
      </c>
      <c r="E82" s="113">
        <v>25569.375534849536</v>
      </c>
      <c r="F82" s="113">
        <v>25569.375534872685</v>
      </c>
      <c r="G82" s="114">
        <f>NETWORKDAYS(E83,F83)</f>
      </c>
      <c r="H82" s="115">
        <v>0</v>
      </c>
      <c r="I82" s="54"/>
      <c r="J82" s="54"/>
      <c r="K82" s="54"/>
      <c r="L82" s="54"/>
      <c r="M82" s="54"/>
      <c r="N82" s="54"/>
      <c r="O82" s="54"/>
      <c r="P82" s="55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148"/>
      <c r="AF82" s="148"/>
      <c r="AG82" s="148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</row>
    <row x14ac:dyDescent="0.25" r="83" customHeight="1" ht="15.75" outlineLevel="1">
      <c r="A83" s="146"/>
      <c r="B83" s="103" t="s">
        <v>186</v>
      </c>
      <c r="C83" s="147" t="s">
        <v>187</v>
      </c>
      <c r="D83" s="138" t="s">
        <v>64</v>
      </c>
      <c r="E83" s="113">
        <v>25569.375534988427</v>
      </c>
      <c r="F83" s="113">
        <v>25569.37553511574</v>
      </c>
      <c r="G83" s="114">
        <f>NETWORKDAYS(E84,F84)</f>
      </c>
      <c r="H83" s="115">
        <v>0</v>
      </c>
      <c r="I83" s="54"/>
      <c r="J83" s="54"/>
      <c r="K83" s="54"/>
      <c r="L83" s="54"/>
      <c r="M83" s="54"/>
      <c r="N83" s="54"/>
      <c r="O83" s="54"/>
      <c r="P83" s="55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148"/>
      <c r="AN83" s="148"/>
      <c r="AO83" s="148"/>
      <c r="AP83" s="148"/>
      <c r="AQ83" s="148"/>
      <c r="AR83" s="148"/>
      <c r="AS83" s="148"/>
      <c r="AT83" s="148"/>
      <c r="AU83" s="148"/>
      <c r="AV83" s="148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54"/>
      <c r="BJ83" s="54"/>
      <c r="BK83" s="54"/>
      <c r="BL83" s="54"/>
      <c r="BM83" s="54"/>
      <c r="BN83" s="54"/>
      <c r="BO83" s="54"/>
      <c r="BP83" s="54"/>
      <c r="BQ83" s="54"/>
    </row>
    <row x14ac:dyDescent="0.25" r="84" customHeight="1" ht="29.25" outlineLevel="1">
      <c r="A84" s="146"/>
      <c r="B84" s="103" t="s">
        <v>188</v>
      </c>
      <c r="C84" s="147" t="s">
        <v>189</v>
      </c>
      <c r="D84" s="138" t="s">
        <v>73</v>
      </c>
      <c r="E84" s="113">
        <v>25569.375535023148</v>
      </c>
      <c r="F84" s="113">
        <v>25569.375535034724</v>
      </c>
      <c r="G84" s="114">
        <f>NETWORKDAYS(E85,F85)</f>
      </c>
      <c r="H84" s="115">
        <v>0</v>
      </c>
      <c r="I84" s="54"/>
      <c r="J84" s="54"/>
      <c r="K84" s="54"/>
      <c r="L84" s="54"/>
      <c r="M84" s="54"/>
      <c r="N84" s="54"/>
      <c r="O84" s="54"/>
      <c r="P84" s="55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148"/>
      <c r="AQ84" s="148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4"/>
      <c r="BQ84" s="54"/>
    </row>
    <row x14ac:dyDescent="0.25" r="85" customHeight="1" ht="15.75" outlineLevel="1">
      <c r="A85" s="146"/>
      <c r="B85" s="103" t="s">
        <v>190</v>
      </c>
      <c r="C85" s="112" t="s">
        <v>191</v>
      </c>
      <c r="D85" s="138" t="s">
        <v>73</v>
      </c>
      <c r="E85" s="113">
        <v>25569.375535034724</v>
      </c>
      <c r="F85" s="113">
        <v>25569.375535046296</v>
      </c>
      <c r="G85" s="114">
        <f>NETWORKDAYS(E86,F86)</f>
      </c>
      <c r="H85" s="115">
        <v>0</v>
      </c>
      <c r="I85" s="54"/>
      <c r="J85" s="54"/>
      <c r="K85" s="54"/>
      <c r="L85" s="54"/>
      <c r="M85" s="54"/>
      <c r="N85" s="54"/>
      <c r="O85" s="54"/>
      <c r="P85" s="55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148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</row>
    <row x14ac:dyDescent="0.25" r="86" customHeight="1" ht="15.75" outlineLevel="1">
      <c r="A86" s="146"/>
      <c r="B86" s="103" t="s">
        <v>192</v>
      </c>
      <c r="C86" s="112" t="s">
        <v>193</v>
      </c>
      <c r="D86" s="138" t="s">
        <v>42</v>
      </c>
      <c r="E86" s="113">
        <v>25569.375535069445</v>
      </c>
      <c r="F86" s="113">
        <v>25569.375535104165</v>
      </c>
      <c r="G86" s="114">
        <f>NETWORKDAYS(E87,F87)</f>
      </c>
      <c r="H86" s="115">
        <v>0</v>
      </c>
      <c r="I86" s="54"/>
      <c r="J86" s="54"/>
      <c r="K86" s="54"/>
      <c r="L86" s="54"/>
      <c r="M86" s="54"/>
      <c r="N86" s="54"/>
      <c r="O86" s="54"/>
      <c r="P86" s="55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148"/>
      <c r="AS86" s="148"/>
      <c r="AT86" s="148"/>
      <c r="AU86" s="148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</row>
    <row x14ac:dyDescent="0.25" r="87" customHeight="1" ht="15.75" outlineLevel="1">
      <c r="A87" s="146"/>
      <c r="B87" s="103" t="s">
        <v>194</v>
      </c>
      <c r="C87" s="112" t="s">
        <v>195</v>
      </c>
      <c r="D87" s="138" t="s">
        <v>42</v>
      </c>
      <c r="E87" s="113">
        <v>25569.375535081017</v>
      </c>
      <c r="F87" s="113">
        <v>25569.375535104165</v>
      </c>
      <c r="G87" s="114">
        <f>NETWORKDAYS(E88,F88)</f>
      </c>
      <c r="H87" s="115">
        <v>0</v>
      </c>
      <c r="I87" s="54"/>
      <c r="J87" s="54"/>
      <c r="K87" s="54"/>
      <c r="L87" s="54"/>
      <c r="M87" s="54"/>
      <c r="N87" s="54"/>
      <c r="O87" s="54"/>
      <c r="P87" s="55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148"/>
      <c r="AT87" s="148"/>
      <c r="AU87" s="148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</row>
    <row x14ac:dyDescent="0.25" r="88" customHeight="1" ht="29.25" outlineLevel="1">
      <c r="A88" s="146"/>
      <c r="B88" s="103" t="s">
        <v>196</v>
      </c>
      <c r="C88" s="147" t="s">
        <v>197</v>
      </c>
      <c r="D88" s="138" t="s">
        <v>47</v>
      </c>
      <c r="E88" s="113">
        <v>25569.375535104165</v>
      </c>
      <c r="F88" s="113">
        <v>25569.37553513889</v>
      </c>
      <c r="G88" s="114">
        <f>NETWORKDAYS(E89,F89)</f>
      </c>
      <c r="H88" s="115">
        <v>0</v>
      </c>
      <c r="I88" s="54"/>
      <c r="J88" s="54"/>
      <c r="K88" s="54"/>
      <c r="L88" s="54"/>
      <c r="M88" s="54"/>
      <c r="N88" s="54"/>
      <c r="O88" s="54"/>
      <c r="P88" s="55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148"/>
      <c r="AV88" s="148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</row>
    <row x14ac:dyDescent="0.25" r="89" customHeight="1" ht="29.25" outlineLevel="1">
      <c r="A89" s="146"/>
      <c r="B89" s="103" t="s">
        <v>198</v>
      </c>
      <c r="C89" s="112" t="s">
        <v>199</v>
      </c>
      <c r="D89" s="138" t="s">
        <v>42</v>
      </c>
      <c r="E89" s="113">
        <v>25569.375535104165</v>
      </c>
      <c r="F89" s="113">
        <v>25569.375535150462</v>
      </c>
      <c r="G89" s="114">
        <f>NETWORKDAYS(E90,F90)</f>
      </c>
      <c r="H89" s="115">
        <v>0</v>
      </c>
      <c r="I89" s="54"/>
      <c r="J89" s="54"/>
      <c r="K89" s="54"/>
      <c r="L89" s="54"/>
      <c r="M89" s="54"/>
      <c r="N89" s="54"/>
      <c r="O89" s="54"/>
      <c r="P89" s="55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148"/>
      <c r="AV89" s="148"/>
      <c r="AW89" s="148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</row>
    <row x14ac:dyDescent="0.25" r="90" customHeight="1" ht="15.75" outlineLevel="1">
      <c r="A90" s="146"/>
      <c r="B90" s="140" t="s">
        <v>200</v>
      </c>
      <c r="C90" s="141" t="s">
        <v>201</v>
      </c>
      <c r="D90" s="149"/>
      <c r="E90" s="150"/>
      <c r="F90" s="150"/>
      <c r="G90" s="151"/>
      <c r="H90" s="152"/>
      <c r="I90" s="149"/>
      <c r="J90" s="149"/>
      <c r="K90" s="149"/>
      <c r="L90" s="149"/>
      <c r="M90" s="149"/>
      <c r="N90" s="149"/>
      <c r="O90" s="149"/>
      <c r="P90" s="153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  <c r="AC90" s="149"/>
      <c r="AD90" s="149"/>
      <c r="AE90" s="149"/>
      <c r="AF90" s="149"/>
      <c r="AG90" s="149"/>
      <c r="AH90" s="149"/>
      <c r="AI90" s="149"/>
      <c r="AJ90" s="149"/>
      <c r="AK90" s="149"/>
      <c r="AL90" s="149"/>
      <c r="AM90" s="149"/>
      <c r="AN90" s="149"/>
      <c r="AO90" s="149"/>
      <c r="AP90" s="149"/>
      <c r="AQ90" s="149"/>
      <c r="AR90" s="149"/>
      <c r="AS90" s="149"/>
      <c r="AT90" s="149"/>
      <c r="AU90" s="149"/>
      <c r="AV90" s="149"/>
      <c r="AW90" s="149"/>
      <c r="AX90" s="149"/>
      <c r="AY90" s="149"/>
      <c r="AZ90" s="149"/>
      <c r="BA90" s="149"/>
      <c r="BB90" s="149"/>
      <c r="BC90" s="149"/>
      <c r="BD90" s="149"/>
      <c r="BE90" s="149"/>
      <c r="BF90" s="149"/>
      <c r="BG90" s="149"/>
      <c r="BH90" s="149"/>
      <c r="BI90" s="149"/>
      <c r="BJ90" s="149"/>
      <c r="BK90" s="149"/>
      <c r="BL90" s="149"/>
      <c r="BM90" s="149"/>
      <c r="BN90" s="149"/>
      <c r="BO90" s="149"/>
      <c r="BP90" s="149"/>
      <c r="BQ90" s="54"/>
    </row>
    <row x14ac:dyDescent="0.25" r="91" customHeight="1" ht="15.75" outlineLevel="1">
      <c r="A91" s="146"/>
      <c r="B91" s="103" t="s">
        <v>202</v>
      </c>
      <c r="C91" s="147" t="s">
        <v>203</v>
      </c>
      <c r="D91" s="138" t="s">
        <v>73</v>
      </c>
      <c r="E91" s="113">
        <v>25569.375535046296</v>
      </c>
      <c r="F91" s="113">
        <v>25569.375535057872</v>
      </c>
      <c r="G91" s="114">
        <f>NETWORKDAYS(E92,F92)</f>
      </c>
      <c r="H91" s="115">
        <v>0</v>
      </c>
      <c r="I91" s="54"/>
      <c r="J91" s="54"/>
      <c r="K91" s="54"/>
      <c r="L91" s="54"/>
      <c r="M91" s="54"/>
      <c r="N91" s="54"/>
      <c r="O91" s="54"/>
      <c r="P91" s="55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</row>
    <row x14ac:dyDescent="0.25" r="92" customHeight="1" ht="15.75" outlineLevel="1">
      <c r="A92" s="146"/>
      <c r="B92" s="103" t="s">
        <v>204</v>
      </c>
      <c r="C92" s="147" t="s">
        <v>205</v>
      </c>
      <c r="D92" s="138" t="s">
        <v>47</v>
      </c>
      <c r="E92" s="113">
        <v>25569.375535081017</v>
      </c>
      <c r="F92" s="113">
        <v>25569.37553511574</v>
      </c>
      <c r="G92" s="114">
        <f>NETWORKDAYS(E93,F93)</f>
      </c>
      <c r="H92" s="115">
        <v>0</v>
      </c>
      <c r="I92" s="54"/>
      <c r="J92" s="54"/>
      <c r="K92" s="54"/>
      <c r="L92" s="54"/>
      <c r="M92" s="54"/>
      <c r="N92" s="54"/>
      <c r="O92" s="54"/>
      <c r="P92" s="55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148"/>
      <c r="AT92" s="148"/>
      <c r="AU92" s="148"/>
      <c r="AV92" s="148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</row>
    <row x14ac:dyDescent="0.25" r="93" customHeight="1" ht="15.75" outlineLevel="1">
      <c r="A93" s="146"/>
      <c r="B93" s="103" t="s">
        <v>206</v>
      </c>
      <c r="C93" s="147" t="s">
        <v>207</v>
      </c>
      <c r="D93" s="138" t="s">
        <v>64</v>
      </c>
      <c r="E93" s="113">
        <v>25569.37553511574</v>
      </c>
      <c r="F93" s="113">
        <v>25569.375535150462</v>
      </c>
      <c r="G93" s="114">
        <f>NETWORKDAYS(E94,F94)</f>
      </c>
      <c r="H93" s="115">
        <v>0</v>
      </c>
      <c r="I93" s="54"/>
      <c r="J93" s="54"/>
      <c r="K93" s="54"/>
      <c r="L93" s="54"/>
      <c r="M93" s="54"/>
      <c r="N93" s="54"/>
      <c r="O93" s="54"/>
      <c r="P93" s="55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148"/>
      <c r="AW93" s="148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</row>
    <row x14ac:dyDescent="0.25" r="94" customHeight="1" ht="15.75" outlineLevel="1">
      <c r="A94" s="146"/>
      <c r="B94" s="103" t="s">
        <v>208</v>
      </c>
      <c r="C94" s="112" t="s">
        <v>209</v>
      </c>
      <c r="D94" s="138" t="s">
        <v>42</v>
      </c>
      <c r="E94" s="113">
        <v>25569.37553511574</v>
      </c>
      <c r="F94" s="113">
        <v>25569.37553516204</v>
      </c>
      <c r="G94" s="114">
        <f>NETWORKDAYS(E95,F95)</f>
      </c>
      <c r="H94" s="115">
        <v>0</v>
      </c>
      <c r="I94" s="54"/>
      <c r="J94" s="54"/>
      <c r="K94" s="54"/>
      <c r="L94" s="54"/>
      <c r="M94" s="54"/>
      <c r="N94" s="54"/>
      <c r="O94" s="54"/>
      <c r="P94" s="55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148"/>
      <c r="AW94" s="148"/>
      <c r="AX94" s="148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</row>
    <row x14ac:dyDescent="0.25" r="95" customHeight="1" ht="29.25" outlineLevel="1">
      <c r="A95" s="146"/>
      <c r="B95" s="103" t="s">
        <v>210</v>
      </c>
      <c r="C95" s="147" t="s">
        <v>211</v>
      </c>
      <c r="D95" s="138" t="s">
        <v>47</v>
      </c>
      <c r="E95" s="113">
        <v>25569.375535127314</v>
      </c>
      <c r="F95" s="113">
        <v>25569.37553516204</v>
      </c>
      <c r="G95" s="114">
        <f>NETWORKDAYS(E96,F96)</f>
      </c>
      <c r="H95" s="115">
        <v>0</v>
      </c>
      <c r="I95" s="54"/>
      <c r="J95" s="54"/>
      <c r="K95" s="54"/>
      <c r="L95" s="54"/>
      <c r="M95" s="54"/>
      <c r="N95" s="54"/>
      <c r="O95" s="54"/>
      <c r="P95" s="55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148"/>
      <c r="AX95" s="148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</row>
    <row x14ac:dyDescent="0.25" r="96" customHeight="1" ht="15.75" outlineLevel="1">
      <c r="A96" s="146"/>
      <c r="B96" s="103" t="s">
        <v>212</v>
      </c>
      <c r="C96" s="147" t="s">
        <v>213</v>
      </c>
      <c r="D96" s="138" t="s">
        <v>214</v>
      </c>
      <c r="E96" s="113">
        <v>25569.375535150462</v>
      </c>
      <c r="F96" s="113">
        <v>25569.37553516204</v>
      </c>
      <c r="G96" s="114">
        <f>NETWORKDAYS(E97,F97)</f>
      </c>
      <c r="H96" s="115">
        <v>0</v>
      </c>
      <c r="I96" s="54"/>
      <c r="J96" s="54"/>
      <c r="K96" s="54"/>
      <c r="L96" s="54"/>
      <c r="M96" s="54"/>
      <c r="N96" s="54"/>
      <c r="O96" s="54"/>
      <c r="P96" s="55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148"/>
      <c r="AX96" s="148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</row>
    <row x14ac:dyDescent="0.25" r="97" customHeight="1" ht="15.75" outlineLevel="1">
      <c r="A97" s="146"/>
      <c r="B97" s="103" t="s">
        <v>215</v>
      </c>
      <c r="C97" s="147" t="s">
        <v>216</v>
      </c>
      <c r="D97" s="138" t="s">
        <v>64</v>
      </c>
      <c r="E97" s="113">
        <v>25569.375535150462</v>
      </c>
      <c r="F97" s="113">
        <v>25569.37553516204</v>
      </c>
      <c r="G97" s="114">
        <f>NETWORKDAYS(E98,F98)</f>
      </c>
      <c r="H97" s="115">
        <v>0</v>
      </c>
      <c r="I97" s="54"/>
      <c r="J97" s="54"/>
      <c r="K97" s="54"/>
      <c r="L97" s="54"/>
      <c r="M97" s="54"/>
      <c r="N97" s="54"/>
      <c r="O97" s="54"/>
      <c r="P97" s="55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148"/>
      <c r="AX97" s="148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</row>
    <row x14ac:dyDescent="0.25" r="98" customHeight="1" ht="15.75" outlineLevel="1">
      <c r="A98" s="146"/>
      <c r="B98" s="103" t="s">
        <v>217</v>
      </c>
      <c r="C98" s="147" t="s">
        <v>218</v>
      </c>
      <c r="D98" s="138" t="s">
        <v>214</v>
      </c>
      <c r="E98" s="113">
        <v>25569.375534849536</v>
      </c>
      <c r="F98" s="113">
        <v>25569.375534849536</v>
      </c>
      <c r="G98" s="114">
        <v>0</v>
      </c>
      <c r="H98" s="115">
        <v>0</v>
      </c>
      <c r="I98" s="54"/>
      <c r="J98" s="54"/>
      <c r="K98" s="54"/>
      <c r="L98" s="54"/>
      <c r="M98" s="54"/>
      <c r="N98" s="54"/>
      <c r="O98" s="54"/>
      <c r="P98" s="55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154" t="s">
        <v>219</v>
      </c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</row>
    <row x14ac:dyDescent="0.25" r="99" customHeight="1" ht="15.75" outlineLevel="1">
      <c r="A99" s="146"/>
      <c r="B99" s="103" t="s">
        <v>220</v>
      </c>
      <c r="C99" s="112" t="s">
        <v>221</v>
      </c>
      <c r="D99" s="138" t="s">
        <v>214</v>
      </c>
      <c r="E99" s="113">
        <v>25569.375534872685</v>
      </c>
      <c r="F99" s="113">
        <v>25569.375534872685</v>
      </c>
      <c r="G99" s="114">
        <v>0</v>
      </c>
      <c r="H99" s="115">
        <v>0</v>
      </c>
      <c r="I99" s="54"/>
      <c r="J99" s="54"/>
      <c r="K99" s="54"/>
      <c r="L99" s="54"/>
      <c r="M99" s="54"/>
      <c r="N99" s="54"/>
      <c r="O99" s="54"/>
      <c r="P99" s="55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154" t="s">
        <v>219</v>
      </c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</row>
    <row x14ac:dyDescent="0.25" r="100" customHeight="1" ht="15.75" outlineLevel="1">
      <c r="A100" s="146"/>
      <c r="B100" s="103" t="s">
        <v>222</v>
      </c>
      <c r="C100" s="147" t="s">
        <v>223</v>
      </c>
      <c r="D100" s="138" t="s">
        <v>214</v>
      </c>
      <c r="E100" s="113">
        <v>25569.37553511574</v>
      </c>
      <c r="F100" s="113">
        <v>25569.37553511574</v>
      </c>
      <c r="G100" s="114">
        <v>0</v>
      </c>
      <c r="H100" s="115">
        <v>0</v>
      </c>
      <c r="I100" s="54"/>
      <c r="J100" s="54"/>
      <c r="K100" s="54"/>
      <c r="L100" s="54"/>
      <c r="M100" s="54"/>
      <c r="N100" s="54"/>
      <c r="O100" s="54"/>
      <c r="P100" s="55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154" t="s">
        <v>219</v>
      </c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4"/>
    </row>
    <row x14ac:dyDescent="0.25" r="101" customHeight="1" ht="15.75" outlineLevel="1">
      <c r="A101" s="146"/>
      <c r="B101" s="103" t="s">
        <v>224</v>
      </c>
      <c r="C101" s="147" t="s">
        <v>225</v>
      </c>
      <c r="D101" s="138" t="s">
        <v>214</v>
      </c>
      <c r="E101" s="113">
        <v>25569.37553516204</v>
      </c>
      <c r="F101" s="113">
        <v>25569.37553516204</v>
      </c>
      <c r="G101" s="114">
        <v>0</v>
      </c>
      <c r="H101" s="115">
        <v>0</v>
      </c>
      <c r="I101" s="54"/>
      <c r="J101" s="54"/>
      <c r="K101" s="54"/>
      <c r="L101" s="54"/>
      <c r="M101" s="54"/>
      <c r="N101" s="54"/>
      <c r="O101" s="54"/>
      <c r="P101" s="55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154" t="s">
        <v>219</v>
      </c>
      <c r="AY101" s="54"/>
      <c r="AZ101" s="54"/>
      <c r="BA101" s="54"/>
      <c r="BB101" s="54"/>
      <c r="BC101" s="54"/>
      <c r="BD101" s="54"/>
      <c r="BE101" s="54"/>
      <c r="BF101" s="54"/>
      <c r="BG101" s="54"/>
      <c r="BH101" s="54"/>
      <c r="BI101" s="54"/>
      <c r="BJ101" s="54"/>
      <c r="BK101" s="54"/>
      <c r="BL101" s="54"/>
      <c r="BM101" s="54"/>
      <c r="BN101" s="54"/>
      <c r="BO101" s="54"/>
      <c r="BP101" s="54"/>
      <c r="BQ101" s="54"/>
    </row>
    <row x14ac:dyDescent="0.25" r="102" customHeight="1" ht="15.75" outlineLevel="1">
      <c r="A102" s="146"/>
      <c r="B102" s="54"/>
      <c r="C102" s="54"/>
      <c r="D102" s="54"/>
      <c r="E102" s="61"/>
      <c r="F102" s="61"/>
      <c r="G102" s="62"/>
      <c r="H102" s="63"/>
      <c r="I102" s="54"/>
      <c r="J102" s="54"/>
      <c r="K102" s="54"/>
      <c r="L102" s="54"/>
      <c r="M102" s="54"/>
      <c r="N102" s="54"/>
      <c r="O102" s="54"/>
      <c r="P102" s="55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4"/>
      <c r="BE102" s="54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4"/>
      <c r="BQ102" s="54"/>
    </row>
  </sheetData>
  <mergeCells count="34">
    <mergeCell ref="B2:G2"/>
    <mergeCell ref="I2:N2"/>
    <mergeCell ref="O2:AG2"/>
    <mergeCell ref="B4:C4"/>
    <mergeCell ref="D4:G4"/>
    <mergeCell ref="I4:O4"/>
    <mergeCell ref="P4:AB4"/>
    <mergeCell ref="B5:C5"/>
    <mergeCell ref="D5:G5"/>
    <mergeCell ref="I5:O5"/>
    <mergeCell ref="P5:AA5"/>
    <mergeCell ref="B8:B10"/>
    <mergeCell ref="C8:C10"/>
    <mergeCell ref="D8:D10"/>
    <mergeCell ref="E8:E10"/>
    <mergeCell ref="F8:F10"/>
    <mergeCell ref="G8:G10"/>
    <mergeCell ref="H8:H10"/>
    <mergeCell ref="I8:W8"/>
    <mergeCell ref="X8:AL8"/>
    <mergeCell ref="AM8:BA8"/>
    <mergeCell ref="BB8:BP8"/>
    <mergeCell ref="I9:M9"/>
    <mergeCell ref="N9:R9"/>
    <mergeCell ref="S9:W9"/>
    <mergeCell ref="X9:AB9"/>
    <mergeCell ref="AC9:AG9"/>
    <mergeCell ref="AH9:AL9"/>
    <mergeCell ref="AM9:AQ9"/>
    <mergeCell ref="AR9:AV9"/>
    <mergeCell ref="AW9:BA9"/>
    <mergeCell ref="BB9:BF9"/>
    <mergeCell ref="BG9:BK9"/>
    <mergeCell ref="BL9:BP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갠트 차트 템플릿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2026-06-21T09:37:57.781Z</dcterms:created>
  <dcterms:modified xsi:type="dcterms:W3CDTF">2026-06-21T09:37:57.781Z</dcterms:modified>
</cp:coreProperties>
</file>