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갠트 차트 템플릿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\$#,##0.00"/>
    <numFmt numFmtId="166" formatCode="yy&quot;년 &quot;m&quot;월 &quot;d\일"/>
  </numFmts>
  <fonts count="42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Poppins"/>
      <charset val="1"/>
      <family val="0"/>
      <sz val="11"/>
    </font>
    <font>
      <name val="Poppins"/>
      <charset val="1"/>
      <family val="0"/>
      <b val="1"/>
      <color rgb="FF0B5394"/>
      <sz val="30"/>
    </font>
    <font>
      <name val="Poppins"/>
      <charset val="1"/>
      <family val="0"/>
      <b val="1"/>
      <color rgb="FF0B5394"/>
      <sz val="11"/>
    </font>
    <font>
      <name val="Poppins"/>
      <charset val="1"/>
      <family val="0"/>
      <color rgb="FF000000"/>
      <sz val="11"/>
    </font>
    <font>
      <name val="Poppins"/>
      <charset val="1"/>
      <family val="0"/>
      <color rgb="FFFFFFFF"/>
      <sz val="11"/>
    </font>
    <font>
      <name val="Roboto"/>
      <charset val="1"/>
      <family val="0"/>
      <b val="1"/>
      <color rgb="FF0B5394"/>
      <sz val="30"/>
    </font>
    <font>
      <name val="Roboto"/>
      <charset val="1"/>
      <family val="0"/>
      <b val="1"/>
      <color rgb="FF0B5394"/>
      <sz val="32"/>
    </font>
    <font>
      <name val="Roboto"/>
      <charset val="1"/>
      <family val="0"/>
      <b val="1"/>
      <color rgb="FF0B5394"/>
      <sz val="12"/>
    </font>
    <font>
      <name val="Noto Sans CJK SC"/>
      <family val="2"/>
      <b val="1"/>
      <color rgb="FF0B5394"/>
      <sz val="12"/>
    </font>
    <font>
      <name val="Noto Sans CJK SC"/>
      <charset val="1"/>
      <family val="2"/>
      <color rgb="FF0B5394"/>
      <sz val="12"/>
    </font>
    <font>
      <name val="Poppins"/>
      <charset val="1"/>
      <family val="0"/>
      <color rgb="FF000000"/>
      <sz val="12"/>
    </font>
    <font>
      <name val="Poppins"/>
      <charset val="1"/>
      <family val="0"/>
      <b val="1"/>
      <color rgb="FF434343"/>
      <sz val="11"/>
    </font>
    <font>
      <name val="Poppins"/>
      <charset val="1"/>
      <family val="0"/>
      <color rgb="FF434343"/>
      <sz val="11"/>
    </font>
    <font>
      <name val="Century Gothic"/>
      <charset val="1"/>
      <family val="0"/>
      <color rgb="FF000000"/>
      <sz val="11"/>
    </font>
    <font>
      <name val="Century Gothic"/>
      <charset val="1"/>
      <family val="0"/>
      <sz val="11"/>
    </font>
    <font>
      <name val="Noto Sans CJK SC"/>
      <charset val="1"/>
      <family val="2"/>
      <b val="1"/>
      <color rgb="FF666666"/>
      <sz val="10"/>
    </font>
    <font>
      <name val="Noto Sans CJK SC"/>
      <charset val="1"/>
      <family val="2"/>
      <color rgb="FF999999"/>
      <sz val="10"/>
    </font>
    <font>
      <name val="Roboto"/>
      <charset val="1"/>
      <family val="0"/>
      <color rgb="FF999999"/>
      <sz val="10"/>
    </font>
    <font>
      <name val="Noto Sans CJK SC"/>
      <family val="2"/>
      <color rgb="FF999999"/>
      <sz val="10"/>
    </font>
    <font>
      <name val="Roboto"/>
      <charset val="1"/>
      <family val="0"/>
      <sz val="11"/>
    </font>
    <font>
      <name val="Roboto"/>
      <charset val="1"/>
      <family val="0"/>
      <color rgb="FF000000"/>
      <sz val="11"/>
    </font>
    <font>
      <name val="Roboto"/>
      <charset val="1"/>
      <family val="0"/>
      <b val="1"/>
      <color rgb="FF000000"/>
      <sz val="8"/>
    </font>
    <font>
      <name val="Noto Sans CJK SC"/>
      <family val="2"/>
      <b val="1"/>
      <color rgb="FF000000"/>
      <sz val="8"/>
    </font>
    <font>
      <name val="Noto Sans CJK SC"/>
      <charset val="1"/>
      <family val="2"/>
      <b val="1"/>
      <color rgb="FF000000"/>
      <sz val="8"/>
    </font>
    <font>
      <name val="Roboto"/>
      <charset val="1"/>
      <family val="0"/>
      <b val="1"/>
      <color rgb="FFFFFFFF"/>
      <sz val="9"/>
    </font>
    <font>
      <name val="Noto Sans CJK SC"/>
      <family val="2"/>
      <b val="1"/>
      <color rgb="FFFFFFFF"/>
      <sz val="9"/>
    </font>
    <font>
      <name val="Roboto"/>
      <charset val="1"/>
      <family val="0"/>
      <b val="1"/>
      <sz val="8"/>
    </font>
    <font>
      <name val="Roboto"/>
      <charset val="1"/>
      <family val="0"/>
      <sz val="9"/>
    </font>
    <font>
      <name val="Noto Sans CJK SC"/>
      <charset val="1"/>
      <family val="2"/>
      <b val="1"/>
      <color rgb="FF000000"/>
      <sz val="9"/>
    </font>
    <font>
      <name val="Roboto"/>
      <charset val="1"/>
      <family val="0"/>
      <b val="1"/>
      <sz val="11"/>
    </font>
    <font>
      <name val="Noto Sans CJK SC"/>
      <charset val="1"/>
      <family val="2"/>
      <b val="1"/>
      <sz val="11"/>
    </font>
    <font>
      <name val="Roboto"/>
      <charset val="1"/>
      <family val="0"/>
      <b val="1"/>
      <color rgb="FF000000"/>
      <sz val="11"/>
    </font>
    <font>
      <name val="Roboto"/>
      <charset val="1"/>
      <family val="0"/>
      <sz val="10"/>
    </font>
    <font>
      <name val="Noto Sans CJK SC"/>
      <family val="2"/>
      <sz val="10"/>
    </font>
    <font>
      <name val="Noto Sans CJK SC"/>
      <charset val="1"/>
      <family val="2"/>
      <sz val="10"/>
    </font>
    <font>
      <name val="Roboto"/>
      <charset val="1"/>
      <family val="0"/>
      <b val="1"/>
      <color rgb="FF000000"/>
      <sz val="10"/>
    </font>
    <font>
      <name val="Arial"/>
      <charset val="1"/>
      <family val="0"/>
      <sz val="11"/>
    </font>
    <font>
      <name val="Roboto"/>
      <charset val="1"/>
      <family val="0"/>
      <b val="1"/>
      <color rgb="FFC00000"/>
      <sz val="10"/>
    </font>
  </fonts>
  <fills count="18">
    <fill>
      <patternFill/>
    </fill>
    <fill>
      <patternFill patternType="gray125"/>
    </fill>
    <fill>
      <patternFill patternType="solid">
        <fgColor rgb="FFFFFFFF"/>
        <bgColor rgb="FFEFEFEF"/>
      </patternFill>
    </fill>
    <fill>
      <patternFill patternType="solid">
        <fgColor rgb="FFEFEFEF"/>
        <bgColor rgb="FFFFFFFF"/>
      </patternFill>
    </fill>
    <fill>
      <patternFill patternType="solid">
        <fgColor rgb="FF0B5394"/>
        <bgColor rgb="FF003366"/>
      </patternFill>
    </fill>
    <fill>
      <patternFill patternType="solid">
        <fgColor rgb="FF45818E"/>
        <bgColor rgb="FF3D85C6"/>
      </patternFill>
    </fill>
    <fill>
      <patternFill patternType="solid">
        <fgColor rgb="FF833C0C"/>
        <bgColor rgb="FF806000"/>
      </patternFill>
    </fill>
    <fill>
      <patternFill patternType="solid">
        <fgColor rgb="FF806000"/>
        <bgColor rgb="FF833C0C"/>
      </patternFill>
    </fill>
    <fill>
      <patternFill patternType="solid">
        <fgColor rgb="FF2F75B5"/>
        <bgColor rgb="FF3D85C6"/>
      </patternFill>
    </fill>
    <fill>
      <patternFill patternType="solid">
        <fgColor rgb="FFA2C4C9"/>
        <bgColor rgb="FFB7B7B7"/>
      </patternFill>
    </fill>
    <fill>
      <patternFill patternType="solid">
        <fgColor rgb="FFC65911"/>
        <bgColor rgb="FF806000"/>
      </patternFill>
    </fill>
    <fill>
      <patternFill patternType="solid">
        <fgColor rgb="FFBF8F00"/>
        <bgColor rgb="FFC65911"/>
      </patternFill>
    </fill>
    <fill>
      <patternFill patternType="solid">
        <fgColor rgb="FFBDD7EE"/>
        <bgColor rgb="FFD0E0E3"/>
      </patternFill>
    </fill>
    <fill>
      <patternFill patternType="solid">
        <fgColor rgb="FFD0E0E3"/>
        <bgColor rgb="FFD9D9D9"/>
      </patternFill>
    </fill>
    <fill>
      <patternFill patternType="solid">
        <fgColor rgb="FFF8CBAD"/>
        <bgColor rgb="FFFFE699"/>
      </patternFill>
    </fill>
    <fill>
      <patternFill patternType="solid">
        <fgColor rgb="FFFFE699"/>
        <bgColor rgb="FFF8CBAD"/>
      </patternFill>
    </fill>
    <fill>
      <patternFill patternType="solid">
        <fgColor rgb="FFCCCCCC"/>
        <bgColor rgb="FFD9D9D9"/>
      </patternFill>
    </fill>
    <fill>
      <patternFill patternType="solid">
        <fgColor rgb="FF5B9BD5"/>
        <bgColor rgb="FF3D85C6"/>
      </patternFill>
    </fill>
  </fills>
  <borders count="24">
    <border>
      <left/>
      <right/>
      <top/>
      <bottom/>
      <diagonal/>
    </border>
    <border>
      <left/>
      <right/>
      <top/>
      <bottom style="thick">
        <color rgb="FF0B5394"/>
      </bottom>
      <diagonal/>
    </border>
    <border>
      <left/>
      <right/>
      <top/>
      <bottom style="thin">
        <color rgb="FFD9D9D9"/>
      </bottom>
      <diagonal/>
    </border>
    <border>
      <left style="thin">
        <color rgb="FFB7B7B7"/>
      </left>
      <right/>
      <top/>
      <bottom/>
      <diagonal/>
    </border>
    <border>
      <left style="thin">
        <color rgb="FFB7B7B7"/>
      </left>
      <right style="thin">
        <color rgb="FFCCCCCC"/>
      </right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/>
      <top/>
      <bottom style="thin">
        <color rgb="FFCCCCCC"/>
      </bottom>
      <diagonal/>
    </border>
    <border>
      <left/>
      <right/>
      <top/>
      <bottom style="thin">
        <color rgb="FFB7B7B7"/>
      </bottom>
      <diagonal/>
    </border>
    <border>
      <left style="thin">
        <color rgb="FFB7B7B7"/>
      </left>
      <right style="hair">
        <color rgb="FFB7B7B7"/>
      </right>
      <top/>
      <bottom style="hair">
        <color rgb="FFB7B7B7"/>
      </bottom>
      <diagonal/>
    </border>
    <border>
      <left style="hair">
        <color rgb="FFB7B7B7"/>
      </left>
      <right style="hair">
        <color rgb="FFB7B7B7"/>
      </right>
      <top/>
      <bottom style="hair">
        <color rgb="FFB7B7B7"/>
      </bottom>
      <diagonal/>
    </border>
    <border>
      <left style="hair">
        <color rgb="FFB7B7B7"/>
      </left>
      <right style="thin">
        <color rgb="FFB7B7B7"/>
      </right>
      <top/>
      <bottom style="hair">
        <color rgb="FFB7B7B7"/>
      </bottom>
      <diagonal/>
    </border>
    <border>
      <left style="thin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hair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hair">
        <color rgb="FFB7B7B7"/>
      </left>
      <right style="thin">
        <color rgb="FFB7B7B7"/>
      </right>
      <top style="hair">
        <color rgb="FFB7B7B7"/>
      </top>
      <bottom style="hair">
        <color rgb="FFB7B7B7"/>
      </bottom>
      <diagonal/>
    </border>
    <border>
      <left style="thin">
        <color rgb="FFB7B7B7"/>
      </left>
      <right style="hair">
        <color rgb="FFB7B7B7"/>
      </right>
      <top style="hair">
        <color rgb="FFB7B7B7"/>
      </top>
      <bottom/>
      <diagonal/>
    </border>
    <border>
      <left style="hair">
        <color rgb="FFB7B7B7"/>
      </left>
      <right style="hair">
        <color rgb="FFB7B7B7"/>
      </right>
      <top style="hair">
        <color rgb="FFB7B7B7"/>
      </top>
      <bottom/>
      <diagonal/>
    </border>
    <border>
      <left style="hair">
        <color rgb="FFB7B7B7"/>
      </left>
      <right style="thin">
        <color rgb="FFB7B7B7"/>
      </right>
      <top style="hair">
        <color rgb="FFB7B7B7"/>
      </top>
      <bottom/>
      <diagonal/>
    </border>
    <border>
      <left/>
      <right style="hair">
        <color rgb="FFB7B7B7"/>
      </right>
      <top style="hair">
        <color rgb="FFB7B7B7"/>
      </top>
      <bottom style="hair">
        <color rgb="FFB7B7B7"/>
      </bottom>
      <diagonal/>
    </border>
    <border>
      <left/>
      <right style="thin">
        <color rgb="FFCCCCCC"/>
      </right>
      <top/>
      <bottom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6" fillId="2" borderId="0" applyAlignment="1" pivotButton="0" quotePrefix="0" xfId="0">
      <alignment horizontal="general" vertical="center"/>
    </xf>
    <xf numFmtId="0" fontId="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general" vertical="center"/>
    </xf>
    <xf numFmtId="0" fontId="9" fillId="2" borderId="1" applyAlignment="1" pivotButton="0" quotePrefix="0" xfId="0">
      <alignment horizontal="general" vertical="center"/>
    </xf>
    <xf numFmtId="0" fontId="10" fillId="2" borderId="1" applyAlignment="1" pivotButton="0" quotePrefix="0" xfId="0">
      <alignment horizontal="general" vertical="center"/>
    </xf>
    <xf numFmtId="0" fontId="11" fillId="2" borderId="1" applyAlignment="1" pivotButton="0" quotePrefix="0" xfId="0">
      <alignment horizontal="general" vertical="center" wrapText="1"/>
    </xf>
    <xf numFmtId="0" fontId="13" fillId="2" borderId="1" applyAlignment="1" pivotButton="0" quotePrefix="0" xfId="0">
      <alignment horizontal="general" vertical="center" wrapText="1"/>
    </xf>
    <xf numFmtId="0" fontId="14" fillId="2" borderId="0" applyAlignment="1" pivotButton="0" quotePrefix="0" xfId="0">
      <alignment horizontal="general" vertical="center"/>
    </xf>
    <xf numFmtId="0" fontId="15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general" vertical="center"/>
    </xf>
    <xf numFmtId="0" fontId="17" fillId="2" borderId="0" applyAlignment="1" pivotButton="0" quotePrefix="0" xfId="0">
      <alignment horizontal="general" vertical="center"/>
    </xf>
    <xf numFmtId="0" fontId="18" fillId="0" borderId="0" applyAlignment="1" pivotButton="0" quotePrefix="0" xfId="0">
      <alignment horizontal="general" vertical="center"/>
    </xf>
    <xf numFmtId="0" fontId="19" fillId="0" borderId="2" applyAlignment="1" pivotButton="0" quotePrefix="0" xfId="0">
      <alignment horizontal="left" vertical="center"/>
    </xf>
    <xf numFmtId="0" fontId="20" fillId="2" borderId="2" applyAlignment="1" pivotButton="0" quotePrefix="0" xfId="0">
      <alignment horizontal="general" vertical="center"/>
    </xf>
    <xf numFmtId="0" fontId="21" fillId="2" borderId="0" applyAlignment="1" pivotButton="0" quotePrefix="0" xfId="0">
      <alignment horizontal="general" vertical="center"/>
    </xf>
    <xf numFmtId="0" fontId="21" fillId="0" borderId="2" applyAlignment="1" pivotButton="0" quotePrefix="0" xfId="0">
      <alignment horizontal="left" vertical="center"/>
    </xf>
    <xf numFmtId="0" fontId="4" fillId="0" borderId="0" applyAlignment="1" pivotButton="0" quotePrefix="0" xfId="0">
      <alignment horizontal="general" vertical="bottom"/>
    </xf>
    <xf numFmtId="0" fontId="21" fillId="0" borderId="2" applyAlignment="1" pivotButton="0" quotePrefix="0" xfId="0">
      <alignment horizontal="general" vertical="center"/>
    </xf>
    <xf numFmtId="0" fontId="21" fillId="0" borderId="0" applyAlignment="1" pivotButton="0" quotePrefix="0" xfId="0">
      <alignment horizontal="general" vertical="center"/>
    </xf>
    <xf numFmtId="164" fontId="21" fillId="0" borderId="2" applyAlignment="1" pivotButton="0" quotePrefix="0" xfId="0">
      <alignment horizontal="left" vertical="center"/>
    </xf>
    <xf numFmtId="0" fontId="21" fillId="0" borderId="2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center"/>
    </xf>
    <xf numFmtId="0" fontId="24" fillId="2" borderId="0" applyAlignment="1" pivotButton="0" quotePrefix="0" xfId="0">
      <alignment horizontal="general" vertical="center"/>
    </xf>
    <xf numFmtId="0" fontId="24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25" fillId="3" borderId="0" applyAlignment="1" pivotButton="0" quotePrefix="0" xfId="0">
      <alignment horizontal="center" vertical="center" wrapText="1"/>
    </xf>
    <xf numFmtId="0" fontId="27" fillId="3" borderId="0" applyAlignment="1" pivotButton="0" quotePrefix="0" xfId="0">
      <alignment horizontal="center" vertical="center" wrapText="1"/>
    </xf>
    <xf numFmtId="0" fontId="28" fillId="4" borderId="3" applyAlignment="1" pivotButton="0" quotePrefix="0" xfId="0">
      <alignment horizontal="center" vertical="center"/>
    </xf>
    <xf numFmtId="0" fontId="28" fillId="5" borderId="3" applyAlignment="1" pivotButton="0" quotePrefix="0" xfId="0">
      <alignment horizontal="center" vertical="center"/>
    </xf>
    <xf numFmtId="0" fontId="28" fillId="6" borderId="3" applyAlignment="1" pivotButton="0" quotePrefix="0" xfId="0">
      <alignment horizontal="center" vertical="center"/>
    </xf>
    <xf numFmtId="0" fontId="28" fillId="7" borderId="4" applyAlignment="1" pivotButton="0" quotePrefix="0" xfId="0">
      <alignment horizontal="center" vertical="center"/>
    </xf>
    <xf numFmtId="0" fontId="30" fillId="0" borderId="0" applyAlignment="1" pivotButton="0" quotePrefix="0" xfId="0">
      <alignment horizontal="general" vertical="center"/>
    </xf>
    <xf numFmtId="0" fontId="28" fillId="8" borderId="5" applyAlignment="1" pivotButton="0" quotePrefix="0" xfId="0">
      <alignment horizontal="center" vertical="center"/>
    </xf>
    <xf numFmtId="0" fontId="28" fillId="9" borderId="5" applyAlignment="1" pivotButton="0" quotePrefix="0" xfId="0">
      <alignment horizontal="center" vertical="center"/>
    </xf>
    <xf numFmtId="0" fontId="28" fillId="10" borderId="5" applyAlignment="1" pivotButton="0" quotePrefix="0" xfId="0">
      <alignment horizontal="center" vertical="center"/>
    </xf>
    <xf numFmtId="0" fontId="28" fillId="11" borderId="5" applyAlignment="1" pivotButton="0" quotePrefix="0" xfId="0">
      <alignment horizontal="center" vertical="center"/>
    </xf>
    <xf numFmtId="0" fontId="31" fillId="0" borderId="0" applyAlignment="1" pivotButton="0" quotePrefix="0" xfId="0">
      <alignment horizontal="general" vertical="center"/>
    </xf>
    <xf numFmtId="0" fontId="32" fillId="12" borderId="6" applyAlignment="1" pivotButton="0" quotePrefix="0" xfId="0">
      <alignment horizontal="center" vertical="center"/>
    </xf>
    <xf numFmtId="0" fontId="32" fillId="13" borderId="6" applyAlignment="1" pivotButton="0" quotePrefix="0" xfId="0">
      <alignment horizontal="center" vertical="center"/>
    </xf>
    <xf numFmtId="0" fontId="32" fillId="14" borderId="6" applyAlignment="1" pivotButton="0" quotePrefix="0" xfId="0">
      <alignment horizontal="center" vertical="center"/>
    </xf>
    <xf numFmtId="0" fontId="32" fillId="15" borderId="6" applyAlignment="1" pivotButton="0" quotePrefix="0" xfId="0">
      <alignment horizontal="center" vertical="center"/>
    </xf>
    <xf numFmtId="0" fontId="33" fillId="16" borderId="7" applyAlignment="1" pivotButton="0" quotePrefix="0" xfId="0">
      <alignment horizontal="left" vertical="center"/>
    </xf>
    <xf numFmtId="0" fontId="34" fillId="16" borderId="7" applyAlignment="1" pivotButton="0" quotePrefix="0" xfId="0">
      <alignment horizontal="left" vertical="center"/>
    </xf>
    <xf numFmtId="0" fontId="35" fillId="16" borderId="7" applyAlignment="1" pivotButton="0" quotePrefix="0" xfId="0">
      <alignment horizontal="general" vertical="center" wrapText="1"/>
    </xf>
    <xf numFmtId="0" fontId="35" fillId="16" borderId="0" applyAlignment="1" pivotButton="0" quotePrefix="0" xfId="0">
      <alignment horizontal="center" vertical="center"/>
    </xf>
    <xf numFmtId="165" fontId="35" fillId="16" borderId="0" applyAlignment="1" pivotButton="0" quotePrefix="0" xfId="0">
      <alignment horizontal="center" vertical="center"/>
    </xf>
    <xf numFmtId="3" fontId="35" fillId="16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general" vertical="center"/>
    </xf>
    <xf numFmtId="0" fontId="36" fillId="0" borderId="8" applyAlignment="1" pivotButton="0" quotePrefix="0" xfId="0">
      <alignment horizontal="left" vertical="center"/>
    </xf>
    <xf numFmtId="0" fontId="36" fillId="0" borderId="8" applyAlignment="1" pivotButton="0" quotePrefix="0" xfId="0">
      <alignment horizontal="left" vertical="center" wrapText="1"/>
    </xf>
    <xf numFmtId="0" fontId="38" fillId="0" borderId="8" applyAlignment="1" pivotButton="0" quotePrefix="0" xfId="0">
      <alignment horizontal="center" vertical="center"/>
    </xf>
    <xf numFmtId="166" fontId="36" fillId="0" borderId="8" applyAlignment="1" pivotButton="0" quotePrefix="0" xfId="0">
      <alignment horizontal="left" vertical="center"/>
    </xf>
    <xf numFmtId="9" fontId="36" fillId="0" borderId="8" applyAlignment="1" pivotButton="0" quotePrefix="0" xfId="0">
      <alignment horizontal="center" vertical="center"/>
    </xf>
    <xf numFmtId="9" fontId="39" fillId="0" borderId="9" applyAlignment="1" pivotButton="0" quotePrefix="0" xfId="0">
      <alignment horizontal="center" vertical="center"/>
    </xf>
    <xf numFmtId="165" fontId="39" fillId="0" borderId="10" applyAlignment="1" pivotButton="0" quotePrefix="0" xfId="0">
      <alignment horizontal="center" vertical="center"/>
    </xf>
    <xf numFmtId="0" fontId="39" fillId="17" borderId="10" applyAlignment="1" pivotButton="0" quotePrefix="0" xfId="0">
      <alignment horizontal="center" vertical="center"/>
    </xf>
    <xf numFmtId="0" fontId="39" fillId="0" borderId="10" applyAlignment="1" pivotButton="0" quotePrefix="0" xfId="0">
      <alignment horizontal="center" vertical="center"/>
    </xf>
    <xf numFmtId="0" fontId="39" fillId="0" borderId="11" applyAlignment="1" pivotButton="0" quotePrefix="0" xfId="0">
      <alignment horizontal="center" vertical="center"/>
    </xf>
    <xf numFmtId="9" fontId="39" fillId="0" borderId="12" applyAlignment="1" pivotButton="0" quotePrefix="0" xfId="0">
      <alignment horizontal="center" vertical="center"/>
    </xf>
    <xf numFmtId="165" fontId="39" fillId="0" borderId="13" applyAlignment="1" pivotButton="0" quotePrefix="0" xfId="0">
      <alignment horizontal="center" vertical="center"/>
    </xf>
    <xf numFmtId="0" fontId="39" fillId="17" borderId="13" applyAlignment="1" pivotButton="0" quotePrefix="0" xfId="0">
      <alignment horizontal="center" vertical="center"/>
    </xf>
    <xf numFmtId="0" fontId="39" fillId="0" borderId="13" applyAlignment="1" pivotButton="0" quotePrefix="0" xfId="0">
      <alignment horizontal="center" vertical="center"/>
    </xf>
    <xf numFmtId="0" fontId="39" fillId="0" borderId="14" applyAlignment="1" pivotButton="0" quotePrefix="0" xfId="0">
      <alignment horizontal="center" vertical="center"/>
    </xf>
    <xf numFmtId="0" fontId="38" fillId="0" borderId="8" applyAlignment="1" pivotButton="0" quotePrefix="0" xfId="0">
      <alignment horizontal="left" vertical="center" wrapText="1"/>
    </xf>
    <xf numFmtId="0" fontId="36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 wrapText="1"/>
    </xf>
    <xf numFmtId="166" fontId="36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center" vertical="center"/>
    </xf>
    <xf numFmtId="9" fontId="36" fillId="0" borderId="0" applyAlignment="1" pivotButton="0" quotePrefix="0" xfId="0">
      <alignment horizontal="center" vertical="center"/>
    </xf>
    <xf numFmtId="9" fontId="39" fillId="0" borderId="15" applyAlignment="1" pivotButton="0" quotePrefix="0" xfId="0">
      <alignment horizontal="center" vertical="center"/>
    </xf>
    <xf numFmtId="165" fontId="39" fillId="0" borderId="16" applyAlignment="1" pivotButton="0" quotePrefix="0" xfId="0">
      <alignment horizontal="center" vertical="center"/>
    </xf>
    <xf numFmtId="0" fontId="39" fillId="0" borderId="16" applyAlignment="1" pivotButton="0" quotePrefix="0" xfId="0">
      <alignment horizontal="center" vertical="center"/>
    </xf>
    <xf numFmtId="0" fontId="39" fillId="17" borderId="16" applyAlignment="1" pivotButton="0" quotePrefix="0" xfId="0">
      <alignment horizontal="center" vertical="center"/>
    </xf>
    <xf numFmtId="0" fontId="39" fillId="0" borderId="17" applyAlignment="1" pivotButton="0" quotePrefix="0" xfId="0">
      <alignment horizontal="center" vertical="center"/>
    </xf>
    <xf numFmtId="0" fontId="36" fillId="0" borderId="7" applyAlignment="1" pivotButton="0" quotePrefix="0" xfId="0">
      <alignment horizontal="left" vertical="center"/>
    </xf>
    <xf numFmtId="0" fontId="38" fillId="0" borderId="7" applyAlignment="1" pivotButton="0" quotePrefix="0" xfId="0">
      <alignment horizontal="left" vertical="center" wrapText="1"/>
    </xf>
    <xf numFmtId="0" fontId="38" fillId="0" borderId="7" applyAlignment="1" pivotButton="0" quotePrefix="0" xfId="0">
      <alignment horizontal="center" vertical="center"/>
    </xf>
    <xf numFmtId="166" fontId="36" fillId="0" borderId="7" applyAlignment="1" pivotButton="0" quotePrefix="0" xfId="0">
      <alignment horizontal="left" vertical="center"/>
    </xf>
    <xf numFmtId="9" fontId="36" fillId="0" borderId="7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 vertical="center"/>
    </xf>
    <xf numFmtId="165" fontId="35" fillId="0" borderId="0" applyAlignment="1" pivotButton="0" quotePrefix="0" xfId="0">
      <alignment horizontal="center" vertical="center"/>
    </xf>
    <xf numFmtId="3" fontId="35" fillId="0" borderId="0" applyAlignment="1" pivotButton="0" quotePrefix="0" xfId="0">
      <alignment horizontal="center" vertical="center"/>
    </xf>
    <xf numFmtId="0" fontId="35" fillId="17" borderId="0" applyAlignment="1" pivotButton="0" quotePrefix="0" xfId="0">
      <alignment horizontal="center" vertical="center"/>
    </xf>
    <xf numFmtId="0" fontId="40" fillId="0" borderId="13" applyAlignment="1" pivotButton="0" quotePrefix="0" xfId="0">
      <alignment horizontal="general" vertical="bottom"/>
    </xf>
    <xf numFmtId="0" fontId="40" fillId="0" borderId="18" applyAlignment="1" pivotButton="0" quotePrefix="0" xfId="0">
      <alignment horizontal="general" vertical="bottom"/>
    </xf>
    <xf numFmtId="0" fontId="36" fillId="0" borderId="7" applyAlignment="1" pivotButton="0" quotePrefix="0" xfId="0">
      <alignment horizontal="left" vertical="center" wrapText="1"/>
    </xf>
    <xf numFmtId="0" fontId="38" fillId="0" borderId="0" applyAlignment="1" pivotButton="0" quotePrefix="0" xfId="0">
      <alignment horizontal="center" vertical="center"/>
    </xf>
    <xf numFmtId="0" fontId="23" fillId="17" borderId="0" applyAlignment="1" pivotButton="0" quotePrefix="0" xfId="0">
      <alignment horizontal="general" vertical="center"/>
    </xf>
    <xf numFmtId="0" fontId="33" fillId="16" borderId="0" applyAlignment="1" pivotButton="0" quotePrefix="0" xfId="0">
      <alignment horizontal="left" vertical="center"/>
    </xf>
    <xf numFmtId="0" fontId="34" fillId="16" borderId="0" applyAlignment="1" pivotButton="0" quotePrefix="0" xfId="0">
      <alignment horizontal="left" vertical="center"/>
    </xf>
    <xf numFmtId="0" fontId="23" fillId="16" borderId="0" applyAlignment="1" pivotButton="0" quotePrefix="0" xfId="0">
      <alignment horizontal="general" vertical="center"/>
    </xf>
    <xf numFmtId="0" fontId="23" fillId="16" borderId="0" applyAlignment="1" pivotButton="0" quotePrefix="0" xfId="0">
      <alignment horizontal="center" vertical="center"/>
    </xf>
    <xf numFmtId="0" fontId="38" fillId="0" borderId="0" applyAlignment="1" pivotButton="0" quotePrefix="0" xfId="0">
      <alignment horizontal="left" vertical="center" wrapText="1"/>
    </xf>
    <xf numFmtId="0" fontId="0" fillId="17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6" fillId="2" borderId="0" applyAlignment="1" pivotButton="0" quotePrefix="0" xfId="0">
      <alignment horizontal="general" vertical="center"/>
    </xf>
    <xf numFmtId="0" fontId="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general" vertical="center"/>
    </xf>
    <xf numFmtId="0" fontId="9" fillId="2" borderId="1" applyAlignment="1" pivotButton="0" quotePrefix="0" xfId="0">
      <alignment horizontal="general" vertical="center"/>
    </xf>
    <xf numFmtId="0" fontId="0" fillId="0" borderId="1" pivotButton="0" quotePrefix="0" xfId="0"/>
    <xf numFmtId="0" fontId="10" fillId="2" borderId="1" applyAlignment="1" pivotButton="0" quotePrefix="0" xfId="0">
      <alignment horizontal="general" vertical="center"/>
    </xf>
    <xf numFmtId="0" fontId="11" fillId="2" borderId="1" applyAlignment="1" pivotButton="0" quotePrefix="0" xfId="0">
      <alignment horizontal="general" vertical="center" wrapText="1"/>
    </xf>
    <xf numFmtId="0" fontId="13" fillId="2" borderId="1" applyAlignment="1" pivotButton="0" quotePrefix="0" xfId="0">
      <alignment horizontal="general" vertical="center" wrapText="1"/>
    </xf>
    <xf numFmtId="0" fontId="14" fillId="2" borderId="0" applyAlignment="1" pivotButton="0" quotePrefix="0" xfId="0">
      <alignment horizontal="general" vertical="center"/>
    </xf>
    <xf numFmtId="0" fontId="15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general" vertical="center"/>
    </xf>
    <xf numFmtId="0" fontId="17" fillId="2" borderId="0" applyAlignment="1" pivotButton="0" quotePrefix="0" xfId="0">
      <alignment horizontal="general" vertical="center"/>
    </xf>
    <xf numFmtId="0" fontId="18" fillId="0" borderId="0" applyAlignment="1" pivotButton="0" quotePrefix="0" xfId="0">
      <alignment horizontal="general" vertical="center"/>
    </xf>
    <xf numFmtId="0" fontId="19" fillId="0" borderId="2" applyAlignment="1" pivotButton="0" quotePrefix="0" xfId="0">
      <alignment horizontal="left" vertical="center"/>
    </xf>
    <xf numFmtId="0" fontId="0" fillId="0" borderId="2" pivotButton="0" quotePrefix="0" xfId="0"/>
    <xf numFmtId="0" fontId="20" fillId="2" borderId="2" applyAlignment="1" pivotButton="0" quotePrefix="0" xfId="0">
      <alignment horizontal="general" vertical="center"/>
    </xf>
    <xf numFmtId="0" fontId="21" fillId="2" borderId="0" applyAlignment="1" pivotButton="0" quotePrefix="0" xfId="0">
      <alignment horizontal="general" vertical="center"/>
    </xf>
    <xf numFmtId="0" fontId="21" fillId="0" borderId="2" applyAlignment="1" pivotButton="0" quotePrefix="0" xfId="0">
      <alignment horizontal="left" vertical="center"/>
    </xf>
    <xf numFmtId="0" fontId="4" fillId="0" borderId="0" applyAlignment="1" pivotButton="0" quotePrefix="0" xfId="0">
      <alignment horizontal="general" vertical="bottom"/>
    </xf>
    <xf numFmtId="0" fontId="21" fillId="0" borderId="2" applyAlignment="1" pivotButton="0" quotePrefix="0" xfId="0">
      <alignment horizontal="general" vertical="center"/>
    </xf>
    <xf numFmtId="0" fontId="21" fillId="0" borderId="0" applyAlignment="1" pivotButton="0" quotePrefix="0" xfId="0">
      <alignment horizontal="general" vertical="center"/>
    </xf>
    <xf numFmtId="164" fontId="21" fillId="0" borderId="2" applyAlignment="1" pivotButton="0" quotePrefix="0" xfId="0">
      <alignment horizontal="left" vertical="center"/>
    </xf>
    <xf numFmtId="0" fontId="21" fillId="0" borderId="2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center"/>
    </xf>
    <xf numFmtId="0" fontId="24" fillId="2" borderId="0" applyAlignment="1" pivotButton="0" quotePrefix="0" xfId="0">
      <alignment horizontal="general" vertical="center"/>
    </xf>
    <xf numFmtId="0" fontId="24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25" fillId="3" borderId="0" applyAlignment="1" pivotButton="0" quotePrefix="0" xfId="0">
      <alignment horizontal="center" vertical="center" wrapText="1"/>
    </xf>
    <xf numFmtId="0" fontId="27" fillId="3" borderId="0" applyAlignment="1" pivotButton="0" quotePrefix="0" xfId="0">
      <alignment horizontal="center" vertical="center" wrapText="1"/>
    </xf>
    <xf numFmtId="0" fontId="28" fillId="4" borderId="3" applyAlignment="1" pivotButton="0" quotePrefix="0" xfId="0">
      <alignment horizontal="center" vertical="center"/>
    </xf>
    <xf numFmtId="0" fontId="28" fillId="5" borderId="3" applyAlignment="1" pivotButton="0" quotePrefix="0" xfId="0">
      <alignment horizontal="center" vertical="center"/>
    </xf>
    <xf numFmtId="0" fontId="28" fillId="6" borderId="3" applyAlignment="1" pivotButton="0" quotePrefix="0" xfId="0">
      <alignment horizontal="center" vertical="center"/>
    </xf>
    <xf numFmtId="0" fontId="28" fillId="7" borderId="4" applyAlignment="1" pivotButton="0" quotePrefix="0" xfId="0">
      <alignment horizontal="center" vertical="center"/>
    </xf>
    <xf numFmtId="0" fontId="0" fillId="0" borderId="19" pivotButton="0" quotePrefix="0" xfId="0"/>
    <xf numFmtId="0" fontId="30" fillId="0" borderId="0" applyAlignment="1" pivotButton="0" quotePrefix="0" xfId="0">
      <alignment horizontal="general" vertical="center"/>
    </xf>
    <xf numFmtId="0" fontId="28" fillId="8" borderId="5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3" pivotButton="0" quotePrefix="0" xfId="0"/>
    <xf numFmtId="0" fontId="28" fillId="9" borderId="5" applyAlignment="1" pivotButton="0" quotePrefix="0" xfId="0">
      <alignment horizontal="center" vertical="center"/>
    </xf>
    <xf numFmtId="0" fontId="28" fillId="10" borderId="5" applyAlignment="1" pivotButton="0" quotePrefix="0" xfId="0">
      <alignment horizontal="center" vertical="center"/>
    </xf>
    <xf numFmtId="0" fontId="28" fillId="11" borderId="5" applyAlignment="1" pivotButton="0" quotePrefix="0" xfId="0">
      <alignment horizontal="center" vertical="center"/>
    </xf>
    <xf numFmtId="0" fontId="31" fillId="0" borderId="0" applyAlignment="1" pivotButton="0" quotePrefix="0" xfId="0">
      <alignment horizontal="general" vertical="center"/>
    </xf>
    <xf numFmtId="0" fontId="32" fillId="12" borderId="6" applyAlignment="1" pivotButton="0" quotePrefix="0" xfId="0">
      <alignment horizontal="center" vertical="center"/>
    </xf>
    <xf numFmtId="0" fontId="32" fillId="13" borderId="6" applyAlignment="1" pivotButton="0" quotePrefix="0" xfId="0">
      <alignment horizontal="center" vertical="center"/>
    </xf>
    <xf numFmtId="0" fontId="32" fillId="14" borderId="6" applyAlignment="1" pivotButton="0" quotePrefix="0" xfId="0">
      <alignment horizontal="center" vertical="center"/>
    </xf>
    <xf numFmtId="0" fontId="32" fillId="15" borderId="6" applyAlignment="1" pivotButton="0" quotePrefix="0" xfId="0">
      <alignment horizontal="center" vertical="center"/>
    </xf>
    <xf numFmtId="0" fontId="33" fillId="16" borderId="7" applyAlignment="1" pivotButton="0" quotePrefix="0" xfId="0">
      <alignment horizontal="left" vertical="center"/>
    </xf>
    <xf numFmtId="0" fontId="34" fillId="16" borderId="7" applyAlignment="1" pivotButton="0" quotePrefix="0" xfId="0">
      <alignment horizontal="left" vertical="center"/>
    </xf>
    <xf numFmtId="0" fontId="35" fillId="16" borderId="7" applyAlignment="1" pivotButton="0" quotePrefix="0" xfId="0">
      <alignment horizontal="general" vertical="center" wrapText="1"/>
    </xf>
    <xf numFmtId="0" fontId="35" fillId="16" borderId="0" applyAlignment="1" pivotButton="0" quotePrefix="0" xfId="0">
      <alignment horizontal="center" vertical="center"/>
    </xf>
    <xf numFmtId="165" fontId="35" fillId="16" borderId="0" applyAlignment="1" pivotButton="0" quotePrefix="0" xfId="0">
      <alignment horizontal="center" vertical="center"/>
    </xf>
    <xf numFmtId="3" fontId="35" fillId="16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general" vertical="center"/>
    </xf>
    <xf numFmtId="0" fontId="36" fillId="0" borderId="8" applyAlignment="1" pivotButton="0" quotePrefix="0" xfId="0">
      <alignment horizontal="left" vertical="center"/>
    </xf>
    <xf numFmtId="0" fontId="36" fillId="0" borderId="8" applyAlignment="1" pivotButton="0" quotePrefix="0" xfId="0">
      <alignment horizontal="left" vertical="center" wrapText="1"/>
    </xf>
    <xf numFmtId="0" fontId="38" fillId="0" borderId="8" applyAlignment="1" pivotButton="0" quotePrefix="0" xfId="0">
      <alignment horizontal="center" vertical="center"/>
    </xf>
    <xf numFmtId="166" fontId="36" fillId="0" borderId="8" applyAlignment="1" pivotButton="0" quotePrefix="0" xfId="0">
      <alignment horizontal="left" vertical="center"/>
    </xf>
    <xf numFmtId="9" fontId="36" fillId="0" borderId="8" applyAlignment="1" pivotButton="0" quotePrefix="0" xfId="0">
      <alignment horizontal="center" vertical="center"/>
    </xf>
    <xf numFmtId="9" fontId="39" fillId="0" borderId="9" applyAlignment="1" pivotButton="0" quotePrefix="0" xfId="0">
      <alignment horizontal="center" vertical="center"/>
    </xf>
    <xf numFmtId="165" fontId="39" fillId="0" borderId="10" applyAlignment="1" pivotButton="0" quotePrefix="0" xfId="0">
      <alignment horizontal="center" vertical="center"/>
    </xf>
    <xf numFmtId="0" fontId="39" fillId="17" borderId="10" applyAlignment="1" pivotButton="0" quotePrefix="0" xfId="0">
      <alignment horizontal="center" vertical="center"/>
    </xf>
    <xf numFmtId="0" fontId="39" fillId="0" borderId="10" applyAlignment="1" pivotButton="0" quotePrefix="0" xfId="0">
      <alignment horizontal="center" vertical="center"/>
    </xf>
    <xf numFmtId="0" fontId="39" fillId="0" borderId="11" applyAlignment="1" pivotButton="0" quotePrefix="0" xfId="0">
      <alignment horizontal="center" vertical="center"/>
    </xf>
    <xf numFmtId="9" fontId="39" fillId="0" borderId="12" applyAlignment="1" pivotButton="0" quotePrefix="0" xfId="0">
      <alignment horizontal="center" vertical="center"/>
    </xf>
    <xf numFmtId="165" fontId="39" fillId="0" borderId="13" applyAlignment="1" pivotButton="0" quotePrefix="0" xfId="0">
      <alignment horizontal="center" vertical="center"/>
    </xf>
    <xf numFmtId="0" fontId="39" fillId="17" borderId="13" applyAlignment="1" pivotButton="0" quotePrefix="0" xfId="0">
      <alignment horizontal="center" vertical="center"/>
    </xf>
    <xf numFmtId="0" fontId="39" fillId="0" borderId="13" applyAlignment="1" pivotButton="0" quotePrefix="0" xfId="0">
      <alignment horizontal="center" vertical="center"/>
    </xf>
    <xf numFmtId="0" fontId="39" fillId="0" borderId="14" applyAlignment="1" pivotButton="0" quotePrefix="0" xfId="0">
      <alignment horizontal="center" vertical="center"/>
    </xf>
    <xf numFmtId="0" fontId="38" fillId="0" borderId="8" applyAlignment="1" pivotButton="0" quotePrefix="0" xfId="0">
      <alignment horizontal="left" vertical="center" wrapText="1"/>
    </xf>
    <xf numFmtId="0" fontId="36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 wrapText="1"/>
    </xf>
    <xf numFmtId="166" fontId="36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center" vertical="center"/>
    </xf>
    <xf numFmtId="9" fontId="36" fillId="0" borderId="0" applyAlignment="1" pivotButton="0" quotePrefix="0" xfId="0">
      <alignment horizontal="center" vertical="center"/>
    </xf>
    <xf numFmtId="9" fontId="39" fillId="0" borderId="15" applyAlignment="1" pivotButton="0" quotePrefix="0" xfId="0">
      <alignment horizontal="center" vertical="center"/>
    </xf>
    <xf numFmtId="165" fontId="39" fillId="0" borderId="16" applyAlignment="1" pivotButton="0" quotePrefix="0" xfId="0">
      <alignment horizontal="center" vertical="center"/>
    </xf>
    <xf numFmtId="0" fontId="39" fillId="0" borderId="16" applyAlignment="1" pivotButton="0" quotePrefix="0" xfId="0">
      <alignment horizontal="center" vertical="center"/>
    </xf>
    <xf numFmtId="0" fontId="39" fillId="17" borderId="16" applyAlignment="1" pivotButton="0" quotePrefix="0" xfId="0">
      <alignment horizontal="center" vertical="center"/>
    </xf>
    <xf numFmtId="0" fontId="39" fillId="0" borderId="17" applyAlignment="1" pivotButton="0" quotePrefix="0" xfId="0">
      <alignment horizontal="center" vertical="center"/>
    </xf>
    <xf numFmtId="0" fontId="36" fillId="0" borderId="7" applyAlignment="1" pivotButton="0" quotePrefix="0" xfId="0">
      <alignment horizontal="left" vertical="center"/>
    </xf>
    <xf numFmtId="0" fontId="38" fillId="0" borderId="7" applyAlignment="1" pivotButton="0" quotePrefix="0" xfId="0">
      <alignment horizontal="left" vertical="center" wrapText="1"/>
    </xf>
    <xf numFmtId="0" fontId="38" fillId="0" borderId="7" applyAlignment="1" pivotButton="0" quotePrefix="0" xfId="0">
      <alignment horizontal="center" vertical="center"/>
    </xf>
    <xf numFmtId="166" fontId="36" fillId="0" borderId="7" applyAlignment="1" pivotButton="0" quotePrefix="0" xfId="0">
      <alignment horizontal="left" vertical="center"/>
    </xf>
    <xf numFmtId="9" fontId="36" fillId="0" borderId="7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 vertical="center"/>
    </xf>
    <xf numFmtId="165" fontId="35" fillId="0" borderId="0" applyAlignment="1" pivotButton="0" quotePrefix="0" xfId="0">
      <alignment horizontal="center" vertical="center"/>
    </xf>
    <xf numFmtId="3" fontId="35" fillId="0" borderId="0" applyAlignment="1" pivotButton="0" quotePrefix="0" xfId="0">
      <alignment horizontal="center" vertical="center"/>
    </xf>
    <xf numFmtId="0" fontId="35" fillId="17" borderId="0" applyAlignment="1" pivotButton="0" quotePrefix="0" xfId="0">
      <alignment horizontal="center" vertical="center"/>
    </xf>
    <xf numFmtId="0" fontId="40" fillId="0" borderId="13" applyAlignment="1" pivotButton="0" quotePrefix="0" xfId="0">
      <alignment horizontal="general" vertical="bottom"/>
    </xf>
    <xf numFmtId="0" fontId="40" fillId="0" borderId="18" applyAlignment="1" pivotButton="0" quotePrefix="0" xfId="0">
      <alignment horizontal="general" vertical="bottom"/>
    </xf>
    <xf numFmtId="0" fontId="36" fillId="0" borderId="7" applyAlignment="1" pivotButton="0" quotePrefix="0" xfId="0">
      <alignment horizontal="left" vertical="center" wrapText="1"/>
    </xf>
    <xf numFmtId="0" fontId="38" fillId="0" borderId="0" applyAlignment="1" pivotButton="0" quotePrefix="0" xfId="0">
      <alignment horizontal="center" vertical="center"/>
    </xf>
    <xf numFmtId="0" fontId="23" fillId="17" borderId="0" applyAlignment="1" pivotButton="0" quotePrefix="0" xfId="0">
      <alignment horizontal="general" vertical="center"/>
    </xf>
    <xf numFmtId="0" fontId="33" fillId="16" borderId="0" applyAlignment="1" pivotButton="0" quotePrefix="0" xfId="0">
      <alignment horizontal="left" vertical="center"/>
    </xf>
    <xf numFmtId="0" fontId="34" fillId="16" borderId="0" applyAlignment="1" pivotButton="0" quotePrefix="0" xfId="0">
      <alignment horizontal="left" vertical="center"/>
    </xf>
    <xf numFmtId="0" fontId="23" fillId="16" borderId="0" applyAlignment="1" pivotButton="0" quotePrefix="0" xfId="0">
      <alignment horizontal="general" vertical="center"/>
    </xf>
    <xf numFmtId="0" fontId="23" fillId="16" borderId="0" applyAlignment="1" pivotButton="0" quotePrefix="0" xfId="0">
      <alignment horizontal="center" vertical="center"/>
    </xf>
    <xf numFmtId="0" fontId="38" fillId="0" borderId="0" applyAlignment="1" pivotButton="0" quotePrefix="0" xfId="0">
      <alignment horizontal="left" vertical="center" wrapText="1"/>
    </xf>
    <xf numFmtId="0" fontId="0" fillId="17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6000"/>
      <rgbColor rgb="FF800080"/>
      <rgbColor rgb="FF3D85C6"/>
      <rgbColor rgb="FFB7B7B7"/>
      <rgbColor rgb="FF808080"/>
      <rgbColor rgb="FF5B9BD5"/>
      <rgbColor rgb="FF993366"/>
      <rgbColor rgb="FFEFEFEF"/>
      <rgbColor rgb="FFD9D9D9"/>
      <rgbColor rgb="FF660066"/>
      <rgbColor rgb="FFFF8080"/>
      <rgbColor rgb="FF0B5394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CCCC"/>
      <rgbColor rgb="FFD0E0E3"/>
      <rgbColor rgb="FFFFE699"/>
      <rgbColor rgb="FFA2C4C9"/>
      <rgbColor rgb="FFFF99CC"/>
      <rgbColor rgb="FFCC99FF"/>
      <rgbColor rgb="FFF8CBAD"/>
      <rgbColor rgb="FF2F75B5"/>
      <rgbColor rgb="FF33CCCC"/>
      <rgbColor rgb="FF99CC00"/>
      <rgbColor rgb="FFFFCC00"/>
      <rgbColor rgb="FFBF8F00"/>
      <rgbColor rgb="FFC65911"/>
      <rgbColor rgb="FF666666"/>
      <rgbColor rgb="FF999999"/>
      <rgbColor rgb="FF003366"/>
      <rgbColor rgb="FF45818E"/>
      <rgbColor rgb="FF003300"/>
      <rgbColor rgb="FF333300"/>
      <rgbColor rgb="FF833C0C"/>
      <rgbColor rgb="FF993366"/>
      <rgbColor rgb="FF333399"/>
      <rgbColor rgb="FF43434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3D85C6"/>
    <outlinePr summaryBelow="0"/>
    <pageSetUpPr fitToPage="0"/>
  </sheetPr>
  <dimension ref="A1:BQ10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customHeight="1" zeroHeight="0" outlineLevelRow="1"/>
  <cols>
    <col width="4.25" customWidth="1" style="103" min="1" max="1"/>
    <col width="11.12" customWidth="1" style="103" min="2" max="2"/>
    <col width="27.75" customWidth="1" style="103" min="3" max="3"/>
    <col width="12.13" customWidth="1" style="103" min="4" max="4"/>
    <col width="12.5" customWidth="1" style="103" min="5" max="6"/>
    <col width="8.630000000000001" customWidth="1" style="103" min="7" max="7"/>
    <col width="3" customWidth="1" style="103" min="9" max="68"/>
    <col width="3.38" customWidth="1" style="103" min="69" max="69"/>
  </cols>
  <sheetData>
    <row r="1" ht="21" customHeight="1" s="104">
      <c r="A1" s="105" t="n"/>
      <c r="B1" s="106" t="n"/>
      <c r="C1" s="107" t="n"/>
      <c r="D1" s="107" t="n"/>
      <c r="E1" s="107" t="n"/>
      <c r="F1" s="105" t="n"/>
      <c r="G1" s="105" t="n"/>
      <c r="H1" s="107" t="n"/>
      <c r="I1" s="108" t="n"/>
      <c r="J1" s="109" t="n"/>
      <c r="K1" s="110" t="n"/>
      <c r="L1" s="111" t="n"/>
      <c r="M1" s="110" t="n"/>
      <c r="N1" s="110" t="n"/>
      <c r="O1" s="105" t="n"/>
      <c r="P1" s="105" t="n"/>
      <c r="Q1" s="105" t="n"/>
      <c r="R1" s="105" t="n"/>
      <c r="S1" s="105" t="n"/>
      <c r="T1" s="105" t="n"/>
      <c r="U1" s="105" t="n"/>
      <c r="V1" s="105" t="n"/>
      <c r="W1" s="105" t="n"/>
      <c r="X1" s="105" t="n"/>
      <c r="Y1" s="105" t="n"/>
      <c r="Z1" s="105" t="n"/>
      <c r="AA1" s="105" t="n"/>
      <c r="AB1" s="105" t="n"/>
      <c r="AC1" s="105" t="n"/>
      <c r="AD1" s="112" t="n"/>
      <c r="AE1" s="112" t="n"/>
      <c r="AF1" s="112" t="n"/>
      <c r="AG1" s="112" t="n"/>
      <c r="AH1" s="112" t="n"/>
      <c r="AI1" s="112" t="n"/>
      <c r="AJ1" s="112" t="n"/>
      <c r="AK1" s="112" t="n"/>
      <c r="AL1" s="112" t="n"/>
      <c r="AM1" s="105" t="n"/>
      <c r="AN1" s="105" t="n"/>
      <c r="AO1" s="105" t="n"/>
      <c r="AP1" s="105" t="n"/>
      <c r="AQ1" s="105" t="n"/>
      <c r="AR1" s="105" t="n"/>
      <c r="AS1" s="105" t="n"/>
      <c r="AT1" s="105" t="n"/>
      <c r="AU1" s="105" t="n"/>
      <c r="AV1" s="105" t="n"/>
      <c r="AW1" s="105" t="n"/>
      <c r="AX1" s="105" t="n"/>
      <c r="AY1" s="105" t="n"/>
      <c r="AZ1" s="105" t="n"/>
      <c r="BA1" s="105" t="n"/>
      <c r="BB1" s="105" t="n"/>
      <c r="BC1" s="105" t="n"/>
      <c r="BD1" s="105" t="n"/>
      <c r="BE1" s="105" t="n"/>
      <c r="BF1" s="105" t="n"/>
      <c r="BG1" s="105" t="n"/>
      <c r="BH1" s="105" t="n"/>
      <c r="BI1" s="105" t="n"/>
      <c r="BJ1" s="105" t="n"/>
      <c r="BK1" s="105" t="n"/>
      <c r="BL1" s="105" t="n"/>
      <c r="BM1" s="105" t="n"/>
      <c r="BN1" s="105" t="n"/>
      <c r="BO1" s="105" t="n"/>
      <c r="BP1" s="105" t="n"/>
      <c r="BQ1" s="105" t="n"/>
    </row>
    <row r="2" ht="21" customHeight="1" s="104">
      <c r="A2" s="105" t="n"/>
      <c r="B2" s="113" t="inlineStr">
        <is>
          <t>WBS</t>
        </is>
      </c>
      <c r="C2" s="114" t="n"/>
      <c r="D2" s="114" t="n"/>
      <c r="E2" s="114" t="n"/>
      <c r="F2" s="114" t="n"/>
      <c r="G2" s="114" t="n"/>
      <c r="H2" s="115" t="n"/>
      <c r="I2" s="116" t="inlineStr">
        <is>
          <t>Smartsheet 
도움말 ➜</t>
        </is>
      </c>
      <c r="J2" s="114" t="n"/>
      <c r="K2" s="114" t="n"/>
      <c r="L2" s="114" t="n"/>
      <c r="M2" s="114" t="n"/>
      <c r="N2" s="114" t="n"/>
      <c r="O2" s="117" t="inlineStr">
        <is>
          <t>갠트 차트의 시각적 타임라인을 사용하면 각 작업의 세부정보는 물론 프로젝트 간의 상호 의존성을 확인할 수 있습니다.</t>
        </is>
      </c>
      <c r="P2" s="114" t="n"/>
      <c r="Q2" s="114" t="n"/>
      <c r="R2" s="114" t="n"/>
      <c r="S2" s="114" t="n"/>
      <c r="T2" s="114" t="n"/>
      <c r="U2" s="114" t="n"/>
      <c r="V2" s="114" t="n"/>
      <c r="W2" s="114" t="n"/>
      <c r="X2" s="114" t="n"/>
      <c r="Y2" s="114" t="n"/>
      <c r="Z2" s="114" t="n"/>
      <c r="AA2" s="114" t="n"/>
      <c r="AB2" s="114" t="n"/>
      <c r="AC2" s="114" t="n"/>
      <c r="AD2" s="114" t="n"/>
      <c r="AE2" s="114" t="n"/>
      <c r="AF2" s="114" t="n"/>
      <c r="AG2" s="114" t="n"/>
      <c r="AH2" s="118" t="n"/>
      <c r="AI2" s="118" t="n"/>
      <c r="AJ2" s="118" t="n"/>
      <c r="AK2" s="118" t="n"/>
      <c r="AL2" s="118" t="n"/>
      <c r="AM2" s="105" t="n"/>
      <c r="AN2" s="105" t="n"/>
      <c r="AO2" s="105" t="n"/>
      <c r="AP2" s="105" t="n"/>
      <c r="AQ2" s="105" t="n"/>
      <c r="AR2" s="105" t="n"/>
      <c r="AS2" s="105" t="n"/>
      <c r="AT2" s="105" t="n"/>
      <c r="AU2" s="105" t="n"/>
      <c r="AV2" s="105" t="n"/>
      <c r="AW2" s="105" t="n"/>
      <c r="AX2" s="105" t="n"/>
      <c r="AY2" s="105" t="n"/>
      <c r="AZ2" s="105" t="n"/>
      <c r="BA2" s="105" t="n"/>
      <c r="BB2" s="105" t="n"/>
      <c r="BC2" s="105" t="n"/>
      <c r="BD2" s="105" t="n"/>
      <c r="BE2" s="105" t="n"/>
      <c r="BF2" s="105" t="n"/>
      <c r="BG2" s="105" t="n"/>
      <c r="BH2" s="105" t="n"/>
      <c r="BI2" s="105" t="n"/>
      <c r="BJ2" s="105" t="n"/>
      <c r="BK2" s="105" t="n"/>
      <c r="BL2" s="105" t="n"/>
      <c r="BM2" s="105" t="n"/>
      <c r="BN2" s="105" t="n"/>
      <c r="BO2" s="105" t="n"/>
      <c r="BP2" s="105" t="n"/>
      <c r="BQ2" s="105" t="n"/>
    </row>
    <row r="3" ht="21" customHeight="1" s="104">
      <c r="A3" s="105" t="n"/>
      <c r="B3" s="119" t="n"/>
      <c r="C3" s="119" t="n"/>
      <c r="D3" s="120" t="n"/>
      <c r="E3" s="120" t="n"/>
      <c r="F3" s="120" t="n"/>
      <c r="G3" s="120" t="n"/>
      <c r="H3" s="120" t="n"/>
      <c r="I3" s="121" t="n"/>
      <c r="J3" s="121" t="n"/>
      <c r="K3" s="121" t="n"/>
      <c r="L3" s="121" t="n"/>
      <c r="M3" s="122" t="n"/>
      <c r="N3" s="122" t="n"/>
      <c r="O3" s="122" t="n"/>
      <c r="P3" s="105" t="n"/>
      <c r="Q3" s="105" t="n"/>
      <c r="R3" s="105" t="n"/>
      <c r="S3" s="105" t="n"/>
      <c r="T3" s="105" t="n"/>
      <c r="U3" s="105" t="n"/>
      <c r="V3" s="105" t="n"/>
      <c r="W3" s="105" t="n"/>
      <c r="X3" s="105" t="n"/>
      <c r="Y3" s="105" t="n"/>
      <c r="Z3" s="105" t="n"/>
      <c r="AA3" s="105" t="n"/>
      <c r="AB3" s="105" t="n"/>
      <c r="AC3" s="105" t="n"/>
      <c r="AD3" s="112" t="n"/>
      <c r="AE3" s="112" t="n"/>
      <c r="AF3" s="112" t="n"/>
      <c r="AG3" s="112" t="n"/>
      <c r="AH3" s="112" t="n"/>
      <c r="AI3" s="112" t="n"/>
      <c r="AJ3" s="112" t="n"/>
      <c r="AK3" s="112" t="n"/>
      <c r="AL3" s="112" t="n"/>
      <c r="AM3" s="105" t="n"/>
      <c r="AN3" s="105" t="n"/>
      <c r="AO3" s="105" t="n"/>
      <c r="AP3" s="105" t="n"/>
      <c r="AQ3" s="105" t="n"/>
      <c r="AR3" s="105" t="n"/>
      <c r="AS3" s="105" t="n"/>
      <c r="AT3" s="105" t="n"/>
      <c r="AU3" s="105" t="n"/>
      <c r="AV3" s="105" t="n"/>
      <c r="AW3" s="105" t="n"/>
      <c r="AX3" s="105" t="n"/>
      <c r="AY3" s="105" t="n"/>
      <c r="AZ3" s="105" t="n"/>
      <c r="BA3" s="105" t="n"/>
      <c r="BB3" s="105" t="n"/>
      <c r="BC3" s="105" t="n"/>
      <c r="BD3" s="105" t="n"/>
      <c r="BE3" s="105" t="n"/>
      <c r="BF3" s="105" t="n"/>
      <c r="BG3" s="105" t="n"/>
      <c r="BH3" s="105" t="n"/>
      <c r="BI3" s="105" t="n"/>
      <c r="BJ3" s="105" t="n"/>
      <c r="BK3" s="105" t="n"/>
      <c r="BL3" s="105" t="n"/>
      <c r="BM3" s="105" t="n"/>
      <c r="BN3" s="105" t="n"/>
      <c r="BO3" s="105" t="n"/>
      <c r="BP3" s="105" t="n"/>
      <c r="BQ3" s="105" t="n"/>
    </row>
    <row r="4" ht="21" customHeight="1" s="104">
      <c r="A4" s="105" t="n"/>
      <c r="B4" s="123" t="inlineStr">
        <is>
          <t>프로젝트 이름</t>
        </is>
      </c>
      <c r="C4" s="124" t="n"/>
      <c r="D4" s="125" t="inlineStr">
        <is>
          <t>빈틈사이</t>
        </is>
      </c>
      <c r="E4" s="124" t="n"/>
      <c r="F4" s="124" t="n"/>
      <c r="G4" s="124" t="n"/>
      <c r="H4" s="126" t="n"/>
      <c r="I4" s="123" t="inlineStr">
        <is>
          <t>팀명</t>
        </is>
      </c>
      <c r="J4" s="124" t="n"/>
      <c r="K4" s="124" t="n"/>
      <c r="L4" s="124" t="n"/>
      <c r="M4" s="124" t="n"/>
      <c r="N4" s="124" t="n"/>
      <c r="O4" s="124" t="n"/>
      <c r="P4" s="127" t="inlineStr">
        <is>
          <t>4team</t>
        </is>
      </c>
      <c r="Q4" s="124" t="n"/>
      <c r="R4" s="124" t="n"/>
      <c r="S4" s="124" t="n"/>
      <c r="T4" s="124" t="n"/>
      <c r="U4" s="124" t="n"/>
      <c r="V4" s="124" t="n"/>
      <c r="W4" s="124" t="n"/>
      <c r="X4" s="124" t="n"/>
      <c r="Y4" s="124" t="n"/>
      <c r="Z4" s="124" t="n"/>
      <c r="AA4" s="124" t="n"/>
      <c r="AB4" s="124" t="n"/>
      <c r="AC4" s="128" t="n"/>
      <c r="AD4" s="112" t="n"/>
      <c r="AE4" s="112" t="n"/>
      <c r="AF4" s="112" t="n"/>
      <c r="AG4" s="112" t="n"/>
      <c r="AH4" s="112" t="n"/>
      <c r="AI4" s="112" t="n"/>
      <c r="AJ4" s="112" t="n"/>
      <c r="AK4" s="112" t="n"/>
      <c r="AL4" s="112" t="n"/>
      <c r="AM4" s="105" t="n"/>
      <c r="AN4" s="105" t="n"/>
      <c r="AO4" s="105" t="n"/>
      <c r="AP4" s="105" t="n"/>
      <c r="AQ4" s="105" t="n"/>
      <c r="AR4" s="105" t="n"/>
      <c r="AS4" s="105" t="n"/>
      <c r="AT4" s="105" t="n"/>
      <c r="AU4" s="105" t="n"/>
      <c r="AV4" s="105" t="n"/>
      <c r="AW4" s="105" t="n"/>
      <c r="AX4" s="105" t="n"/>
      <c r="AY4" s="105" t="n"/>
      <c r="AZ4" s="105" t="n"/>
      <c r="BA4" s="105" t="n"/>
      <c r="BB4" s="105" t="n"/>
      <c r="BC4" s="105" t="n"/>
      <c r="BD4" s="105" t="n"/>
      <c r="BE4" s="105" t="n"/>
      <c r="BF4" s="105" t="n"/>
      <c r="BG4" s="105" t="n"/>
      <c r="BH4" s="105" t="n"/>
      <c r="BI4" s="105" t="n"/>
      <c r="BJ4" s="105" t="n"/>
      <c r="BK4" s="105" t="n"/>
      <c r="BL4" s="105" t="n"/>
      <c r="BM4" s="105" t="n"/>
      <c r="BN4" s="105" t="n"/>
      <c r="BO4" s="105" t="n"/>
      <c r="BP4" s="105" t="n"/>
      <c r="BQ4" s="105" t="n"/>
    </row>
    <row r="5" ht="21" customHeight="1" s="104">
      <c r="A5" s="105" t="n"/>
      <c r="B5" s="123" t="inlineStr">
        <is>
          <t>프로젝트 관리자</t>
        </is>
      </c>
      <c r="C5" s="124" t="n"/>
      <c r="D5" s="129" t="inlineStr">
        <is>
          <t>PM 김한솔 · APM 한재웅</t>
        </is>
      </c>
      <c r="E5" s="124" t="n"/>
      <c r="F5" s="124" t="n"/>
      <c r="G5" s="124" t="n"/>
      <c r="H5" s="130" t="n"/>
      <c r="I5" s="123" t="inlineStr">
        <is>
          <t>날짜</t>
        </is>
      </c>
      <c r="J5" s="124" t="n"/>
      <c r="K5" s="124" t="n"/>
      <c r="L5" s="124" t="n"/>
      <c r="M5" s="124" t="n"/>
      <c r="N5" s="124" t="n"/>
      <c r="O5" s="124" t="n"/>
      <c r="P5" s="131" t="n">
        <v>46192</v>
      </c>
      <c r="Q5" s="124" t="n"/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  <c r="AA5" s="124" t="n"/>
      <c r="AB5" s="132" t="n"/>
      <c r="AC5" s="128" t="n"/>
      <c r="AD5" s="105" t="n"/>
      <c r="AE5" s="105" t="n"/>
      <c r="AF5" s="105" t="n"/>
      <c r="AG5" s="105" t="n"/>
      <c r="AH5" s="105" t="n"/>
      <c r="AI5" s="105" t="n"/>
      <c r="AJ5" s="105" t="n"/>
      <c r="AK5" s="105" t="n"/>
      <c r="AL5" s="128" t="n"/>
      <c r="AM5" s="105" t="n"/>
      <c r="AN5" s="105" t="n"/>
      <c r="AO5" s="105" t="n"/>
      <c r="AP5" s="105" t="n"/>
      <c r="AQ5" s="105" t="n"/>
      <c r="AR5" s="105" t="n"/>
      <c r="AS5" s="105" t="n"/>
      <c r="AT5" s="105" t="n"/>
      <c r="AU5" s="105" t="n"/>
      <c r="AV5" s="105" t="n"/>
      <c r="AW5" s="105" t="n"/>
      <c r="AX5" s="105" t="n"/>
      <c r="AY5" s="105" t="n"/>
      <c r="AZ5" s="105" t="n"/>
      <c r="BA5" s="105" t="n"/>
      <c r="BB5" s="105" t="n"/>
      <c r="BC5" s="105" t="n"/>
      <c r="BD5" s="105" t="n"/>
      <c r="BE5" s="105" t="n"/>
      <c r="BF5" s="105" t="n"/>
      <c r="BG5" s="105" t="n"/>
      <c r="BH5" s="105" t="n"/>
      <c r="BI5" s="105" t="n"/>
      <c r="BJ5" s="105" t="n"/>
      <c r="BK5" s="105" t="n"/>
      <c r="BL5" s="105" t="n"/>
      <c r="BM5" s="105" t="n"/>
      <c r="BN5" s="105" t="n"/>
      <c r="BO5" s="105" t="n"/>
      <c r="BP5" s="105" t="n"/>
      <c r="BQ5" s="105" t="n"/>
    </row>
    <row r="6" ht="21" customHeight="1" s="104">
      <c r="A6" s="133" t="n"/>
      <c r="B6" s="134" t="n"/>
      <c r="C6" s="134" t="n"/>
      <c r="D6" s="134" t="n"/>
      <c r="E6" s="134" t="n"/>
      <c r="F6" s="134" t="n"/>
      <c r="G6" s="135" t="n"/>
      <c r="H6" s="135" t="n"/>
      <c r="I6" s="134" t="n"/>
      <c r="J6" s="134" t="n"/>
      <c r="K6" s="134" t="n"/>
      <c r="L6" s="134" t="n"/>
      <c r="M6" s="133" t="n"/>
      <c r="N6" s="133" t="n"/>
      <c r="O6" s="133" t="n"/>
      <c r="P6" s="133" t="n"/>
      <c r="Q6" s="133" t="n"/>
      <c r="R6" s="133" t="n"/>
      <c r="S6" s="133" t="n"/>
      <c r="T6" s="133" t="n"/>
      <c r="U6" s="133" t="n"/>
      <c r="V6" s="133" t="n"/>
      <c r="W6" s="133" t="n"/>
      <c r="X6" s="133" t="n"/>
      <c r="Y6" s="133" t="n"/>
      <c r="Z6" s="133" t="n"/>
      <c r="AA6" s="133" t="n"/>
      <c r="AB6" s="133" t="n"/>
      <c r="AC6" s="133" t="n"/>
      <c r="AD6" s="133" t="n"/>
      <c r="AE6" s="133" t="n"/>
      <c r="AF6" s="133" t="n"/>
      <c r="AG6" s="133" t="n"/>
      <c r="AH6" s="133" t="n"/>
      <c r="AI6" s="133" t="n"/>
      <c r="AJ6" s="133" t="n"/>
      <c r="AK6" s="133" t="n"/>
      <c r="AL6" s="133" t="n"/>
      <c r="AM6" s="133" t="n"/>
      <c r="AN6" s="133" t="n"/>
      <c r="AO6" s="133" t="n"/>
      <c r="AP6" s="133" t="n"/>
      <c r="AQ6" s="133" t="n"/>
      <c r="AR6" s="133" t="n"/>
      <c r="AS6" s="133" t="n"/>
      <c r="AT6" s="133" t="n"/>
      <c r="AU6" s="133" t="n"/>
      <c r="AV6" s="133" t="n"/>
      <c r="AW6" s="133" t="n"/>
      <c r="AX6" s="133" t="n"/>
      <c r="AY6" s="133" t="n"/>
      <c r="AZ6" s="133" t="n"/>
      <c r="BA6" s="133" t="n"/>
      <c r="BB6" s="133" t="n"/>
      <c r="BC6" s="133" t="n"/>
      <c r="BD6" s="133" t="n"/>
      <c r="BE6" s="133" t="n"/>
      <c r="BF6" s="133" t="n"/>
      <c r="BG6" s="133" t="n"/>
      <c r="BH6" s="133" t="n"/>
      <c r="BI6" s="133" t="n"/>
      <c r="BJ6" s="133" t="n"/>
      <c r="BK6" s="133" t="n"/>
      <c r="BL6" s="133" t="n"/>
      <c r="BM6" s="133" t="n"/>
      <c r="BN6" s="133" t="n"/>
      <c r="BO6" s="133" t="n"/>
      <c r="BP6" s="133" t="n"/>
      <c r="BQ6" s="133" t="n"/>
    </row>
    <row r="7" ht="21" customHeight="1" s="104">
      <c r="A7" s="133" t="n"/>
      <c r="B7" s="134" t="n"/>
      <c r="C7" s="134" t="n"/>
      <c r="D7" s="134" t="n"/>
      <c r="E7" s="134" t="n"/>
      <c r="F7" s="134" t="n"/>
      <c r="G7" s="135" t="n"/>
      <c r="H7" s="135" t="n"/>
      <c r="I7" s="134" t="n"/>
      <c r="J7" s="134" t="n"/>
      <c r="K7" s="134" t="n"/>
      <c r="L7" s="134" t="n"/>
      <c r="M7" s="133" t="n"/>
      <c r="N7" s="133" t="n"/>
      <c r="O7" s="133" t="n"/>
      <c r="P7" s="133" t="n"/>
      <c r="Q7" s="133" t="n"/>
      <c r="R7" s="133" t="n"/>
      <c r="S7" s="133" t="n"/>
      <c r="T7" s="133" t="n"/>
      <c r="U7" s="133" t="n"/>
      <c r="V7" s="133" t="n"/>
      <c r="W7" s="133" t="n"/>
      <c r="X7" s="133" t="n"/>
      <c r="Y7" s="133" t="n"/>
      <c r="Z7" s="133" t="n"/>
      <c r="AA7" s="133" t="n"/>
      <c r="AB7" s="133" t="n"/>
      <c r="AC7" s="133" t="n"/>
      <c r="AD7" s="133" t="n"/>
      <c r="AE7" s="133" t="n"/>
      <c r="AF7" s="133" t="n"/>
      <c r="AG7" s="133" t="n"/>
      <c r="AH7" s="133" t="n"/>
      <c r="AI7" s="133" t="n"/>
      <c r="AJ7" s="133" t="n"/>
      <c r="AK7" s="133" t="n"/>
      <c r="AL7" s="133" t="n"/>
      <c r="AM7" s="133" t="n"/>
      <c r="AN7" s="133" t="n"/>
      <c r="AO7" s="133" t="n"/>
      <c r="AP7" s="133" t="n"/>
      <c r="AQ7" s="133" t="n"/>
      <c r="AR7" s="133" t="n"/>
      <c r="AS7" s="133" t="n"/>
      <c r="AT7" s="133" t="n"/>
      <c r="AU7" s="133" t="n"/>
      <c r="AV7" s="133" t="n"/>
      <c r="AW7" s="133" t="n"/>
      <c r="AX7" s="133" t="n"/>
      <c r="AY7" s="133" t="n"/>
      <c r="AZ7" s="133" t="n"/>
      <c r="BA7" s="133" t="n"/>
      <c r="BB7" s="133" t="n"/>
      <c r="BC7" s="133" t="n"/>
      <c r="BD7" s="133" t="n"/>
      <c r="BE7" s="133" t="n"/>
      <c r="BF7" s="133" t="n"/>
      <c r="BG7" s="133" t="n"/>
      <c r="BH7" s="133" t="n"/>
      <c r="BI7" s="133" t="n"/>
      <c r="BJ7" s="133" t="n"/>
      <c r="BK7" s="133" t="n"/>
      <c r="BL7" s="133" t="n"/>
      <c r="BM7" s="133" t="n"/>
      <c r="BN7" s="133" t="n"/>
      <c r="BO7" s="133" t="n"/>
      <c r="BP7" s="133" t="n"/>
      <c r="BQ7" s="133" t="n"/>
    </row>
    <row r="8" ht="17.25" customHeight="1" s="104">
      <c r="A8" s="136" t="n"/>
      <c r="B8" s="137" t="inlineStr">
        <is>
          <t>WBS 번호</t>
        </is>
      </c>
      <c r="C8" s="138" t="inlineStr">
        <is>
          <t>작업 제목</t>
        </is>
      </c>
      <c r="D8" s="138" t="inlineStr">
        <is>
          <t>작업 소유자</t>
        </is>
      </c>
      <c r="E8" s="138" t="inlineStr">
        <is>
          <t>시작일</t>
        </is>
      </c>
      <c r="F8" s="138" t="inlineStr">
        <is>
          <t>마감일</t>
        </is>
      </c>
      <c r="G8" s="138" t="inlineStr">
        <is>
          <t>기간</t>
        </is>
      </c>
      <c r="H8" s="138" t="inlineStr">
        <is>
          <t>작업 완료 비율</t>
        </is>
      </c>
      <c r="I8" s="139" t="inlineStr">
        <is>
          <t>1단계</t>
        </is>
      </c>
      <c r="X8" s="140" t="inlineStr">
        <is>
          <t>2단계</t>
        </is>
      </c>
      <c r="AM8" s="141" t="inlineStr">
        <is>
          <t>3단계</t>
        </is>
      </c>
      <c r="BB8" s="142" t="inlineStr">
        <is>
          <t>4단계</t>
        </is>
      </c>
      <c r="BP8" s="143" t="n"/>
      <c r="BQ8" s="133" t="n"/>
    </row>
    <row r="9" ht="17.25" customHeight="1" s="104">
      <c r="A9" s="144" t="n"/>
      <c r="I9" s="145" t="inlineStr">
        <is>
          <t>1주</t>
        </is>
      </c>
      <c r="J9" s="146" t="n"/>
      <c r="K9" s="146" t="n"/>
      <c r="L9" s="146" t="n"/>
      <c r="M9" s="147" t="n"/>
      <c r="N9" s="145" t="inlineStr">
        <is>
          <t>2주</t>
        </is>
      </c>
      <c r="O9" s="146" t="n"/>
      <c r="P9" s="146" t="n"/>
      <c r="Q9" s="146" t="n"/>
      <c r="R9" s="147" t="n"/>
      <c r="S9" s="145" t="inlineStr">
        <is>
          <t>3주</t>
        </is>
      </c>
      <c r="T9" s="146" t="n"/>
      <c r="U9" s="146" t="n"/>
      <c r="V9" s="146" t="n"/>
      <c r="W9" s="147" t="n"/>
      <c r="X9" s="148" t="inlineStr">
        <is>
          <t>4주</t>
        </is>
      </c>
      <c r="Y9" s="146" t="n"/>
      <c r="Z9" s="146" t="n"/>
      <c r="AA9" s="146" t="n"/>
      <c r="AB9" s="147" t="n"/>
      <c r="AC9" s="148" t="inlineStr">
        <is>
          <t>5주</t>
        </is>
      </c>
      <c r="AD9" s="146" t="n"/>
      <c r="AE9" s="146" t="n"/>
      <c r="AF9" s="146" t="n"/>
      <c r="AG9" s="147" t="n"/>
      <c r="AH9" s="148" t="inlineStr">
        <is>
          <t>6주</t>
        </is>
      </c>
      <c r="AI9" s="146" t="n"/>
      <c r="AJ9" s="146" t="n"/>
      <c r="AK9" s="146" t="n"/>
      <c r="AL9" s="147" t="n"/>
      <c r="AM9" s="149" t="inlineStr">
        <is>
          <t>7주</t>
        </is>
      </c>
      <c r="AN9" s="146" t="n"/>
      <c r="AO9" s="146" t="n"/>
      <c r="AP9" s="146" t="n"/>
      <c r="AQ9" s="147" t="n"/>
      <c r="AR9" s="149" t="inlineStr">
        <is>
          <t>8주</t>
        </is>
      </c>
      <c r="AS9" s="146" t="n"/>
      <c r="AT9" s="146" t="n"/>
      <c r="AU9" s="146" t="n"/>
      <c r="AV9" s="147" t="n"/>
      <c r="AW9" s="149" t="inlineStr">
        <is>
          <t>9주</t>
        </is>
      </c>
      <c r="AX9" s="146" t="n"/>
      <c r="AY9" s="146" t="n"/>
      <c r="AZ9" s="146" t="n"/>
      <c r="BA9" s="147" t="n"/>
      <c r="BB9" s="150" t="inlineStr">
        <is>
          <t>10주</t>
        </is>
      </c>
      <c r="BC9" s="146" t="n"/>
      <c r="BD9" s="146" t="n"/>
      <c r="BE9" s="146" t="n"/>
      <c r="BF9" s="147" t="n"/>
      <c r="BG9" s="150" t="inlineStr">
        <is>
          <t>11주</t>
        </is>
      </c>
      <c r="BH9" s="146" t="n"/>
      <c r="BI9" s="146" t="n"/>
      <c r="BJ9" s="146" t="n"/>
      <c r="BK9" s="147" t="n"/>
      <c r="BL9" s="150" t="inlineStr">
        <is>
          <t>12주</t>
        </is>
      </c>
      <c r="BM9" s="146" t="n"/>
      <c r="BN9" s="146" t="n"/>
      <c r="BO9" s="146" t="n"/>
      <c r="BP9" s="147" t="n"/>
      <c r="BQ9" s="144" t="n"/>
    </row>
    <row r="10" ht="17.25" customHeight="1" s="104">
      <c r="A10" s="151" t="n"/>
      <c r="I10" s="152" t="inlineStr">
        <is>
          <t>월</t>
        </is>
      </c>
      <c r="J10" s="152" t="inlineStr">
        <is>
          <t>화</t>
        </is>
      </c>
      <c r="K10" s="152" t="inlineStr">
        <is>
          <t>수</t>
        </is>
      </c>
      <c r="L10" s="152" t="inlineStr">
        <is>
          <t>목</t>
        </is>
      </c>
      <c r="M10" s="152" t="inlineStr">
        <is>
          <t>금</t>
        </is>
      </c>
      <c r="N10" s="152" t="inlineStr">
        <is>
          <t>월</t>
        </is>
      </c>
      <c r="O10" s="152" t="inlineStr">
        <is>
          <t>화</t>
        </is>
      </c>
      <c r="P10" s="152" t="inlineStr">
        <is>
          <t>수</t>
        </is>
      </c>
      <c r="Q10" s="152" t="inlineStr">
        <is>
          <t>목</t>
        </is>
      </c>
      <c r="R10" s="152" t="inlineStr">
        <is>
          <t>금</t>
        </is>
      </c>
      <c r="S10" s="152" t="inlineStr">
        <is>
          <t>월</t>
        </is>
      </c>
      <c r="T10" s="152" t="inlineStr">
        <is>
          <t>화</t>
        </is>
      </c>
      <c r="U10" s="152" t="inlineStr">
        <is>
          <t>수</t>
        </is>
      </c>
      <c r="V10" s="152" t="inlineStr">
        <is>
          <t>목</t>
        </is>
      </c>
      <c r="W10" s="152" t="inlineStr">
        <is>
          <t>금</t>
        </is>
      </c>
      <c r="X10" s="153" t="inlineStr">
        <is>
          <t>월</t>
        </is>
      </c>
      <c r="Y10" s="153" t="inlineStr">
        <is>
          <t>화</t>
        </is>
      </c>
      <c r="Z10" s="153" t="inlineStr">
        <is>
          <t>수</t>
        </is>
      </c>
      <c r="AA10" s="153" t="inlineStr">
        <is>
          <t>목</t>
        </is>
      </c>
      <c r="AB10" s="153" t="inlineStr">
        <is>
          <t>금</t>
        </is>
      </c>
      <c r="AC10" s="153" t="inlineStr">
        <is>
          <t>월</t>
        </is>
      </c>
      <c r="AD10" s="153" t="inlineStr">
        <is>
          <t>화</t>
        </is>
      </c>
      <c r="AE10" s="153" t="inlineStr">
        <is>
          <t>수</t>
        </is>
      </c>
      <c r="AF10" s="153" t="inlineStr">
        <is>
          <t>목</t>
        </is>
      </c>
      <c r="AG10" s="153" t="inlineStr">
        <is>
          <t>금</t>
        </is>
      </c>
      <c r="AH10" s="153" t="inlineStr">
        <is>
          <t>월</t>
        </is>
      </c>
      <c r="AI10" s="153" t="inlineStr">
        <is>
          <t>화</t>
        </is>
      </c>
      <c r="AJ10" s="153" t="inlineStr">
        <is>
          <t>수</t>
        </is>
      </c>
      <c r="AK10" s="153" t="inlineStr">
        <is>
          <t>목</t>
        </is>
      </c>
      <c r="AL10" s="153" t="inlineStr">
        <is>
          <t>금</t>
        </is>
      </c>
      <c r="AM10" s="154" t="inlineStr">
        <is>
          <t>월</t>
        </is>
      </c>
      <c r="AN10" s="154" t="inlineStr">
        <is>
          <t>화</t>
        </is>
      </c>
      <c r="AO10" s="154" t="inlineStr">
        <is>
          <t>수</t>
        </is>
      </c>
      <c r="AP10" s="154" t="inlineStr">
        <is>
          <t>목</t>
        </is>
      </c>
      <c r="AQ10" s="154" t="inlineStr">
        <is>
          <t>금</t>
        </is>
      </c>
      <c r="AR10" s="154" t="inlineStr">
        <is>
          <t>월</t>
        </is>
      </c>
      <c r="AS10" s="154" t="inlineStr">
        <is>
          <t>화</t>
        </is>
      </c>
      <c r="AT10" s="154" t="inlineStr">
        <is>
          <t>수</t>
        </is>
      </c>
      <c r="AU10" s="154" t="inlineStr">
        <is>
          <t>목</t>
        </is>
      </c>
      <c r="AV10" s="154" t="inlineStr">
        <is>
          <t>금</t>
        </is>
      </c>
      <c r="AW10" s="154" t="inlineStr">
        <is>
          <t>월</t>
        </is>
      </c>
      <c r="AX10" s="154" t="inlineStr">
        <is>
          <t>화</t>
        </is>
      </c>
      <c r="AY10" s="154" t="inlineStr">
        <is>
          <t>수</t>
        </is>
      </c>
      <c r="AZ10" s="154" t="inlineStr">
        <is>
          <t>목</t>
        </is>
      </c>
      <c r="BA10" s="154" t="inlineStr">
        <is>
          <t>금</t>
        </is>
      </c>
      <c r="BB10" s="155" t="inlineStr">
        <is>
          <t>월</t>
        </is>
      </c>
      <c r="BC10" s="155" t="inlineStr">
        <is>
          <t>화</t>
        </is>
      </c>
      <c r="BD10" s="155" t="inlineStr">
        <is>
          <t>수</t>
        </is>
      </c>
      <c r="BE10" s="155" t="inlineStr">
        <is>
          <t>목</t>
        </is>
      </c>
      <c r="BF10" s="155" t="inlineStr">
        <is>
          <t>금</t>
        </is>
      </c>
      <c r="BG10" s="155" t="inlineStr">
        <is>
          <t>월</t>
        </is>
      </c>
      <c r="BH10" s="155" t="inlineStr">
        <is>
          <t>화</t>
        </is>
      </c>
      <c r="BI10" s="155" t="inlineStr">
        <is>
          <t>수</t>
        </is>
      </c>
      <c r="BJ10" s="155" t="inlineStr">
        <is>
          <t>목</t>
        </is>
      </c>
      <c r="BK10" s="155" t="inlineStr">
        <is>
          <t>금</t>
        </is>
      </c>
      <c r="BL10" s="155" t="inlineStr">
        <is>
          <t>월</t>
        </is>
      </c>
      <c r="BM10" s="155" t="inlineStr">
        <is>
          <t>화</t>
        </is>
      </c>
      <c r="BN10" s="155" t="inlineStr">
        <is>
          <t>수</t>
        </is>
      </c>
      <c r="BO10" s="155" t="inlineStr">
        <is>
          <t>목</t>
        </is>
      </c>
      <c r="BP10" s="155" t="inlineStr">
        <is>
          <t>금</t>
        </is>
      </c>
      <c r="BQ10" s="151" t="n"/>
    </row>
    <row r="11" ht="21" customHeight="1" s="104">
      <c r="A11" s="133" t="n"/>
      <c r="B11" s="156" t="inlineStr">
        <is>
          <t>1</t>
        </is>
      </c>
      <c r="C11" s="157" t="inlineStr">
        <is>
          <t>프로젝트 구상 및 착수</t>
        </is>
      </c>
      <c r="D11" s="158" t="n"/>
      <c r="E11" s="158" t="n"/>
      <c r="F11" s="158" t="n"/>
      <c r="G11" s="158" t="n"/>
      <c r="H11" s="158" t="n"/>
      <c r="I11" s="159" t="n"/>
      <c r="J11" s="160" t="n"/>
      <c r="K11" s="161" t="n"/>
      <c r="L11" s="161" t="n"/>
      <c r="M11" s="159" t="n"/>
      <c r="N11" s="159" t="n"/>
      <c r="O11" s="159" t="n"/>
      <c r="P11" s="159" t="n"/>
      <c r="Q11" s="159" t="n"/>
      <c r="R11" s="159" t="n"/>
      <c r="S11" s="159" t="n"/>
      <c r="T11" s="159" t="n"/>
      <c r="U11" s="159" t="n"/>
      <c r="V11" s="159" t="n"/>
      <c r="W11" s="159" t="n"/>
      <c r="X11" s="159" t="n"/>
      <c r="Y11" s="159" t="n"/>
      <c r="Z11" s="159" t="n"/>
      <c r="AA11" s="159" t="n"/>
      <c r="AB11" s="159" t="n"/>
      <c r="AC11" s="159" t="n"/>
      <c r="AD11" s="159" t="n"/>
      <c r="AE11" s="159" t="n"/>
      <c r="AF11" s="159" t="n"/>
      <c r="AG11" s="159" t="n"/>
      <c r="AH11" s="159" t="n"/>
      <c r="AI11" s="159" t="n"/>
      <c r="AJ11" s="159" t="n"/>
      <c r="AK11" s="159" t="n"/>
      <c r="AL11" s="159" t="n"/>
      <c r="AM11" s="159" t="n"/>
      <c r="AN11" s="159" t="n"/>
      <c r="AO11" s="159" t="n"/>
      <c r="AP11" s="159" t="n"/>
      <c r="AQ11" s="159" t="n"/>
      <c r="AR11" s="159" t="n"/>
      <c r="AS11" s="159" t="n"/>
      <c r="AT11" s="159" t="n"/>
      <c r="AU11" s="159" t="n"/>
      <c r="AV11" s="159" t="n"/>
      <c r="AW11" s="159" t="n"/>
      <c r="AX11" s="159" t="n"/>
      <c r="AY11" s="159" t="n"/>
      <c r="AZ11" s="159" t="n"/>
      <c r="BA11" s="159" t="n"/>
      <c r="BB11" s="159" t="n"/>
      <c r="BC11" s="159" t="n"/>
      <c r="BD11" s="159" t="n"/>
      <c r="BE11" s="159" t="n"/>
      <c r="BF11" s="159" t="n"/>
      <c r="BG11" s="159" t="n"/>
      <c r="BH11" s="159" t="n"/>
      <c r="BI11" s="159" t="n"/>
      <c r="BJ11" s="159" t="n"/>
      <c r="BK11" s="159" t="n"/>
      <c r="BL11" s="159" t="n"/>
      <c r="BM11" s="159" t="n"/>
      <c r="BN11" s="159" t="n"/>
      <c r="BO11" s="159" t="n"/>
      <c r="BP11" s="159" t="n"/>
      <c r="BQ11" s="133" t="n"/>
    </row>
    <row r="12" outlineLevel="1" ht="17.25" customHeight="1" s="104">
      <c r="A12" s="162" t="n"/>
      <c r="B12" s="163" t="inlineStr">
        <is>
          <t>1.1</t>
        </is>
      </c>
      <c r="C12" s="164" t="inlineStr">
        <is>
          <t>[온보딩] 이슈 및 요구사항 정리</t>
        </is>
      </c>
      <c r="D12" s="165" t="inlineStr">
        <is>
          <t>이성진</t>
        </is>
      </c>
      <c r="E12" s="166" t="n">
        <v>46183</v>
      </c>
      <c r="F12" s="166" t="n">
        <v>46184</v>
      </c>
      <c r="G12" s="165">
        <f>NETWORKDAYS(E12,F12)</f>
        <v/>
      </c>
      <c r="H12" s="167" t="n">
        <v>0</v>
      </c>
      <c r="I12" s="168" t="n"/>
      <c r="J12" s="169" t="n"/>
      <c r="K12" s="170" t="n"/>
      <c r="L12" s="170" t="n"/>
      <c r="M12" s="171" t="n"/>
      <c r="N12" s="171" t="n"/>
      <c r="O12" s="171" t="n"/>
      <c r="P12" s="171" t="n"/>
      <c r="Q12" s="171" t="n"/>
      <c r="R12" s="171" t="n"/>
      <c r="S12" s="171" t="n"/>
      <c r="T12" s="171" t="n"/>
      <c r="U12" s="171" t="n"/>
      <c r="V12" s="171" t="n"/>
      <c r="W12" s="171" t="n"/>
      <c r="X12" s="171" t="n"/>
      <c r="Y12" s="171" t="n"/>
      <c r="Z12" s="171" t="n"/>
      <c r="AA12" s="171" t="n"/>
      <c r="AB12" s="171" t="n"/>
      <c r="AC12" s="171" t="n"/>
      <c r="AD12" s="171" t="n"/>
      <c r="AE12" s="171" t="n"/>
      <c r="AF12" s="171" t="n"/>
      <c r="AG12" s="171" t="n"/>
      <c r="AH12" s="171" t="n"/>
      <c r="AI12" s="171" t="n"/>
      <c r="AJ12" s="171" t="n"/>
      <c r="AK12" s="171" t="n"/>
      <c r="AL12" s="171" t="n"/>
      <c r="AM12" s="171" t="n"/>
      <c r="AN12" s="171" t="n"/>
      <c r="AO12" s="171" t="n"/>
      <c r="AP12" s="171" t="n"/>
      <c r="AQ12" s="171" t="n"/>
      <c r="AR12" s="171" t="n"/>
      <c r="AS12" s="171" t="n"/>
      <c r="AT12" s="171" t="n"/>
      <c r="AU12" s="171" t="n"/>
      <c r="AV12" s="171" t="n"/>
      <c r="AW12" s="171" t="n"/>
      <c r="AX12" s="171" t="n"/>
      <c r="AY12" s="171" t="n"/>
      <c r="AZ12" s="171" t="n"/>
      <c r="BA12" s="171" t="n"/>
      <c r="BB12" s="171" t="n"/>
      <c r="BC12" s="171" t="n"/>
      <c r="BD12" s="171" t="n"/>
      <c r="BE12" s="171" t="n"/>
      <c r="BF12" s="171" t="n"/>
      <c r="BG12" s="171" t="n"/>
      <c r="BH12" s="171" t="n"/>
      <c r="BI12" s="171" t="n"/>
      <c r="BJ12" s="171" t="n"/>
      <c r="BK12" s="171" t="n"/>
      <c r="BL12" s="171" t="n"/>
      <c r="BM12" s="171" t="n"/>
      <c r="BN12" s="171" t="n"/>
      <c r="BO12" s="171" t="n"/>
      <c r="BP12" s="172" t="n"/>
      <c r="BQ12" s="162" t="n"/>
    </row>
    <row r="13" outlineLevel="1" ht="17.25" customHeight="1" s="104">
      <c r="A13" s="162" t="n"/>
      <c r="B13" s="163" t="inlineStr">
        <is>
          <t>1.2</t>
        </is>
      </c>
      <c r="C13" s="164" t="inlineStr">
        <is>
          <t>[온보딩] 메인 화면 요구사항 상세화</t>
        </is>
      </c>
      <c r="D13" s="165" t="inlineStr">
        <is>
          <t>이성진</t>
        </is>
      </c>
      <c r="E13" s="166" t="n">
        <v>46183</v>
      </c>
      <c r="F13" s="166" t="n">
        <v>46188</v>
      </c>
      <c r="G13" s="165">
        <f>NETWORKDAYS(E13,F13)</f>
        <v/>
      </c>
      <c r="H13" s="167" t="n">
        <v>0</v>
      </c>
      <c r="I13" s="173" t="n"/>
      <c r="J13" s="174" t="n"/>
      <c r="K13" s="175" t="n"/>
      <c r="L13" s="175" t="n"/>
      <c r="M13" s="175" t="n"/>
      <c r="N13" s="175" t="n"/>
      <c r="O13" s="176" t="n"/>
      <c r="P13" s="176" t="n"/>
      <c r="Q13" s="176" t="n"/>
      <c r="R13" s="176" t="n"/>
      <c r="S13" s="176" t="n"/>
      <c r="T13" s="176" t="n"/>
      <c r="U13" s="176" t="n"/>
      <c r="V13" s="176" t="n"/>
      <c r="W13" s="176" t="n"/>
      <c r="X13" s="176" t="n"/>
      <c r="Y13" s="176" t="n"/>
      <c r="Z13" s="176" t="n"/>
      <c r="AA13" s="176" t="n"/>
      <c r="AB13" s="176" t="n"/>
      <c r="AC13" s="176" t="n"/>
      <c r="AD13" s="176" t="n"/>
      <c r="AE13" s="176" t="n"/>
      <c r="AF13" s="176" t="n"/>
      <c r="AG13" s="176" t="n"/>
      <c r="AH13" s="176" t="n"/>
      <c r="AI13" s="176" t="n"/>
      <c r="AJ13" s="176" t="n"/>
      <c r="AK13" s="176" t="n"/>
      <c r="AL13" s="176" t="n"/>
      <c r="AM13" s="176" t="n"/>
      <c r="AN13" s="176" t="n"/>
      <c r="AO13" s="176" t="n"/>
      <c r="AP13" s="176" t="n"/>
      <c r="AQ13" s="176" t="n"/>
      <c r="AR13" s="176" t="n"/>
      <c r="AS13" s="176" t="n"/>
      <c r="AT13" s="176" t="n"/>
      <c r="AU13" s="176" t="n"/>
      <c r="AV13" s="176" t="n"/>
      <c r="AW13" s="176" t="n"/>
      <c r="AX13" s="176" t="n"/>
      <c r="AY13" s="176" t="n"/>
      <c r="AZ13" s="176" t="n"/>
      <c r="BA13" s="176" t="n"/>
      <c r="BB13" s="176" t="n"/>
      <c r="BC13" s="176" t="n"/>
      <c r="BD13" s="176" t="n"/>
      <c r="BE13" s="176" t="n"/>
      <c r="BF13" s="176" t="n"/>
      <c r="BG13" s="176" t="n"/>
      <c r="BH13" s="176" t="n"/>
      <c r="BI13" s="176" t="n"/>
      <c r="BJ13" s="176" t="n"/>
      <c r="BK13" s="176" t="n"/>
      <c r="BL13" s="176" t="n"/>
      <c r="BM13" s="176" t="n"/>
      <c r="BN13" s="176" t="n"/>
      <c r="BO13" s="176" t="n"/>
      <c r="BP13" s="177" t="n"/>
      <c r="BQ13" s="162" t="n"/>
    </row>
    <row r="14" outlineLevel="1" ht="17.25" customHeight="1" s="104">
      <c r="A14" s="162" t="n"/>
      <c r="B14" s="163" t="inlineStr">
        <is>
          <t>1.3</t>
        </is>
      </c>
      <c r="C14" s="178" t="inlineStr">
        <is>
          <t>요구사항 정의서 작성·명세 수립 (전체 기능)</t>
        </is>
      </c>
      <c r="D14" s="165" t="inlineStr">
        <is>
          <t>김한솔</t>
        </is>
      </c>
      <c r="E14" s="166" t="n">
        <v>46184</v>
      </c>
      <c r="F14" s="166" t="n">
        <v>46192</v>
      </c>
      <c r="G14" s="165">
        <f>NETWORKDAYS(E14,F14)</f>
        <v/>
      </c>
      <c r="H14" s="167" t="n">
        <v>0</v>
      </c>
      <c r="I14" s="173" t="n"/>
      <c r="J14" s="174" t="n"/>
      <c r="K14" s="176" t="n"/>
      <c r="L14" s="175" t="n"/>
      <c r="M14" s="175" t="n"/>
      <c r="N14" s="175" t="n"/>
      <c r="O14" s="175" t="n"/>
      <c r="P14" s="175" t="n"/>
      <c r="Q14" s="175" t="n"/>
      <c r="R14" s="175" t="n"/>
      <c r="S14" s="176" t="n"/>
      <c r="T14" s="176" t="n"/>
      <c r="U14" s="176" t="n"/>
      <c r="V14" s="176" t="n"/>
      <c r="W14" s="176" t="n"/>
      <c r="X14" s="176" t="n"/>
      <c r="Y14" s="176" t="n"/>
      <c r="Z14" s="176" t="n"/>
      <c r="AA14" s="176" t="n"/>
      <c r="AB14" s="176" t="n"/>
      <c r="AC14" s="176" t="n"/>
      <c r="AD14" s="176" t="n"/>
      <c r="AE14" s="176" t="n"/>
      <c r="AF14" s="176" t="n"/>
      <c r="AG14" s="176" t="n"/>
      <c r="AH14" s="176" t="n"/>
      <c r="AI14" s="176" t="n"/>
      <c r="AJ14" s="176" t="n"/>
      <c r="AK14" s="176" t="n"/>
      <c r="AL14" s="176" t="n"/>
      <c r="AM14" s="176" t="n"/>
      <c r="AN14" s="176" t="n"/>
      <c r="AO14" s="176" t="n"/>
      <c r="AP14" s="176" t="n"/>
      <c r="AQ14" s="176" t="n"/>
      <c r="AR14" s="176" t="n"/>
      <c r="AS14" s="176" t="n"/>
      <c r="AT14" s="176" t="n"/>
      <c r="AU14" s="176" t="n"/>
      <c r="AV14" s="176" t="n"/>
      <c r="AW14" s="176" t="n"/>
      <c r="AX14" s="176" t="n"/>
      <c r="AY14" s="176" t="n"/>
      <c r="AZ14" s="176" t="n"/>
      <c r="BA14" s="176" t="n"/>
      <c r="BB14" s="176" t="n"/>
      <c r="BC14" s="176" t="n"/>
      <c r="BD14" s="176" t="n"/>
      <c r="BE14" s="176" t="n"/>
      <c r="BF14" s="176" t="n"/>
      <c r="BG14" s="176" t="n"/>
      <c r="BH14" s="176" t="n"/>
      <c r="BI14" s="176" t="n"/>
      <c r="BJ14" s="176" t="n"/>
      <c r="BK14" s="176" t="n"/>
      <c r="BL14" s="176" t="n"/>
      <c r="BM14" s="176" t="n"/>
      <c r="BN14" s="176" t="n"/>
      <c r="BO14" s="176" t="n"/>
      <c r="BP14" s="177" t="n"/>
      <c r="BQ14" s="162" t="n"/>
    </row>
    <row r="15" outlineLevel="1" ht="17.25" customHeight="1" s="104">
      <c r="A15" s="162" t="n"/>
      <c r="B15" s="163" t="inlineStr">
        <is>
          <t>1.4</t>
        </is>
      </c>
      <c r="C15" s="178" t="inlineStr">
        <is>
          <t>아이디어 빌딩 및 경쟁 앱 분석</t>
        </is>
      </c>
      <c r="D15" s="165" t="inlineStr">
        <is>
          <t>김한솔</t>
        </is>
      </c>
      <c r="E15" s="166" t="n">
        <v>46184</v>
      </c>
      <c r="F15" s="166" t="n">
        <v>46188</v>
      </c>
      <c r="G15" s="165">
        <f>NETWORKDAYS(E15,F15)</f>
        <v/>
      </c>
      <c r="H15" s="167" t="n">
        <v>0</v>
      </c>
      <c r="I15" s="173" t="n"/>
      <c r="J15" s="174" t="n"/>
      <c r="K15" s="176" t="n"/>
      <c r="L15" s="175" t="n"/>
      <c r="M15" s="175" t="n"/>
      <c r="N15" s="175" t="n"/>
      <c r="O15" s="176" t="n"/>
      <c r="P15" s="176" t="n"/>
      <c r="Q15" s="176" t="n"/>
      <c r="R15" s="176" t="n"/>
      <c r="S15" s="176" t="n"/>
      <c r="T15" s="176" t="n"/>
      <c r="U15" s="176" t="n"/>
      <c r="V15" s="176" t="n"/>
      <c r="W15" s="176" t="n"/>
      <c r="X15" s="176" t="n"/>
      <c r="Y15" s="176" t="n"/>
      <c r="Z15" s="176" t="n"/>
      <c r="AA15" s="176" t="n"/>
      <c r="AB15" s="176" t="n"/>
      <c r="AC15" s="176" t="n"/>
      <c r="AD15" s="176" t="n"/>
      <c r="AE15" s="176" t="n"/>
      <c r="AF15" s="176" t="n"/>
      <c r="AG15" s="176" t="n"/>
      <c r="AH15" s="176" t="n"/>
      <c r="AI15" s="176" t="n"/>
      <c r="AJ15" s="176" t="n"/>
      <c r="AK15" s="176" t="n"/>
      <c r="AL15" s="176" t="n"/>
      <c r="AM15" s="176" t="n"/>
      <c r="AN15" s="176" t="n"/>
      <c r="AO15" s="176" t="n"/>
      <c r="AP15" s="176" t="n"/>
      <c r="AQ15" s="176" t="n"/>
      <c r="AR15" s="176" t="n"/>
      <c r="AS15" s="176" t="n"/>
      <c r="AT15" s="176" t="n"/>
      <c r="AU15" s="176" t="n"/>
      <c r="AV15" s="176" t="n"/>
      <c r="AW15" s="176" t="n"/>
      <c r="AX15" s="176" t="n"/>
      <c r="AY15" s="176" t="n"/>
      <c r="AZ15" s="176" t="n"/>
      <c r="BA15" s="176" t="n"/>
      <c r="BB15" s="176" t="n"/>
      <c r="BC15" s="176" t="n"/>
      <c r="BD15" s="176" t="n"/>
      <c r="BE15" s="176" t="n"/>
      <c r="BF15" s="176" t="n"/>
      <c r="BG15" s="176" t="n"/>
      <c r="BH15" s="176" t="n"/>
      <c r="BI15" s="176" t="n"/>
      <c r="BJ15" s="176" t="n"/>
      <c r="BK15" s="176" t="n"/>
      <c r="BL15" s="176" t="n"/>
      <c r="BM15" s="176" t="n"/>
      <c r="BN15" s="176" t="n"/>
      <c r="BO15" s="176" t="n"/>
      <c r="BP15" s="177" t="n"/>
      <c r="BQ15" s="162" t="n"/>
    </row>
    <row r="16" outlineLevel="1" ht="17.25" customHeight="1" s="104">
      <c r="A16" s="162" t="n"/>
      <c r="B16" s="163" t="inlineStr">
        <is>
          <t>1.5</t>
        </is>
      </c>
      <c r="C16" s="164" t="inlineStr">
        <is>
          <t>[온보딩] 로그인/최초 진입 분기 정책 정의</t>
        </is>
      </c>
      <c r="D16" s="165" t="inlineStr">
        <is>
          <t>이성진</t>
        </is>
      </c>
      <c r="E16" s="166" t="n">
        <v>46185</v>
      </c>
      <c r="F16" s="166" t="n">
        <v>46190</v>
      </c>
      <c r="G16" s="165">
        <f>NETWORKDAYS(E16,F16)</f>
        <v/>
      </c>
      <c r="H16" s="167" t="n">
        <v>0</v>
      </c>
      <c r="I16" s="173" t="n"/>
      <c r="J16" s="174" t="n"/>
      <c r="K16" s="176" t="n"/>
      <c r="L16" s="176" t="n"/>
      <c r="M16" s="175" t="n"/>
      <c r="N16" s="175" t="n"/>
      <c r="O16" s="175" t="n"/>
      <c r="P16" s="175" t="n"/>
      <c r="Q16" s="176" t="n"/>
      <c r="R16" s="176" t="n"/>
      <c r="S16" s="176" t="n"/>
      <c r="T16" s="176" t="n"/>
      <c r="U16" s="176" t="n"/>
      <c r="V16" s="176" t="n"/>
      <c r="W16" s="176" t="n"/>
      <c r="X16" s="176" t="n"/>
      <c r="Y16" s="176" t="n"/>
      <c r="Z16" s="176" t="n"/>
      <c r="AA16" s="176" t="n"/>
      <c r="AB16" s="176" t="n"/>
      <c r="AC16" s="176" t="n"/>
      <c r="AD16" s="176" t="n"/>
      <c r="AE16" s="176" t="n"/>
      <c r="AF16" s="176" t="n"/>
      <c r="AG16" s="176" t="n"/>
      <c r="AH16" s="176" t="n"/>
      <c r="AI16" s="176" t="n"/>
      <c r="AJ16" s="176" t="n"/>
      <c r="AK16" s="176" t="n"/>
      <c r="AL16" s="176" t="n"/>
      <c r="AM16" s="176" t="n"/>
      <c r="AN16" s="176" t="n"/>
      <c r="AO16" s="176" t="n"/>
      <c r="AP16" s="176" t="n"/>
      <c r="AQ16" s="176" t="n"/>
      <c r="AR16" s="176" t="n"/>
      <c r="AS16" s="176" t="n"/>
      <c r="AT16" s="176" t="n"/>
      <c r="AU16" s="176" t="n"/>
      <c r="AV16" s="176" t="n"/>
      <c r="AW16" s="176" t="n"/>
      <c r="AX16" s="176" t="n"/>
      <c r="AY16" s="176" t="n"/>
      <c r="AZ16" s="176" t="n"/>
      <c r="BA16" s="176" t="n"/>
      <c r="BB16" s="176" t="n"/>
      <c r="BC16" s="176" t="n"/>
      <c r="BD16" s="176" t="n"/>
      <c r="BE16" s="176" t="n"/>
      <c r="BF16" s="176" t="n"/>
      <c r="BG16" s="176" t="n"/>
      <c r="BH16" s="176" t="n"/>
      <c r="BI16" s="176" t="n"/>
      <c r="BJ16" s="176" t="n"/>
      <c r="BK16" s="176" t="n"/>
      <c r="BL16" s="176" t="n"/>
      <c r="BM16" s="176" t="n"/>
      <c r="BN16" s="176" t="n"/>
      <c r="BO16" s="176" t="n"/>
      <c r="BP16" s="177" t="n"/>
      <c r="BQ16" s="162" t="n"/>
    </row>
    <row r="17" outlineLevel="1" ht="17.25" customHeight="1" s="104">
      <c r="A17" s="162" t="n"/>
      <c r="B17" s="163" t="inlineStr">
        <is>
          <t>1.6</t>
        </is>
      </c>
      <c r="C17" s="164" t="inlineStr">
        <is>
          <t>[온보딩] 캐릭터 선택 및 페르소나 항목 정의</t>
        </is>
      </c>
      <c r="D17" s="165" t="inlineStr">
        <is>
          <t>이성진</t>
        </is>
      </c>
      <c r="E17" s="166" t="n">
        <v>46188</v>
      </c>
      <c r="F17" s="166" t="n">
        <v>46191</v>
      </c>
      <c r="G17" s="165">
        <f>NETWORKDAYS(E17,F17)</f>
        <v/>
      </c>
      <c r="H17" s="167" t="n">
        <v>0</v>
      </c>
      <c r="I17" s="173" t="n"/>
      <c r="J17" s="174" t="n"/>
      <c r="K17" s="176" t="n"/>
      <c r="L17" s="176" t="n"/>
      <c r="M17" s="176" t="n"/>
      <c r="N17" s="175" t="n"/>
      <c r="O17" s="175" t="n"/>
      <c r="P17" s="175" t="n"/>
      <c r="Q17" s="175" t="n"/>
      <c r="R17" s="176" t="n"/>
      <c r="S17" s="176" t="n"/>
      <c r="T17" s="176" t="n"/>
      <c r="U17" s="176" t="n"/>
      <c r="V17" s="176" t="n"/>
      <c r="W17" s="176" t="n"/>
      <c r="X17" s="176" t="n"/>
      <c r="Y17" s="176" t="n"/>
      <c r="Z17" s="176" t="n"/>
      <c r="AA17" s="176" t="n"/>
      <c r="AB17" s="176" t="n"/>
      <c r="AC17" s="176" t="n"/>
      <c r="AD17" s="176" t="n"/>
      <c r="AE17" s="176" t="n"/>
      <c r="AF17" s="176" t="n"/>
      <c r="AG17" s="176" t="n"/>
      <c r="AH17" s="176" t="n"/>
      <c r="AI17" s="176" t="n"/>
      <c r="AJ17" s="176" t="n"/>
      <c r="AK17" s="176" t="n"/>
      <c r="AL17" s="176" t="n"/>
      <c r="AM17" s="176" t="n"/>
      <c r="AN17" s="176" t="n"/>
      <c r="AO17" s="176" t="n"/>
      <c r="AP17" s="176" t="n"/>
      <c r="AQ17" s="176" t="n"/>
      <c r="AR17" s="176" t="n"/>
      <c r="AS17" s="176" t="n"/>
      <c r="AT17" s="176" t="n"/>
      <c r="AU17" s="176" t="n"/>
      <c r="AV17" s="176" t="n"/>
      <c r="AW17" s="176" t="n"/>
      <c r="AX17" s="176" t="n"/>
      <c r="AY17" s="176" t="n"/>
      <c r="AZ17" s="176" t="n"/>
      <c r="BA17" s="176" t="n"/>
      <c r="BB17" s="176" t="n"/>
      <c r="BC17" s="176" t="n"/>
      <c r="BD17" s="176" t="n"/>
      <c r="BE17" s="176" t="n"/>
      <c r="BF17" s="176" t="n"/>
      <c r="BG17" s="176" t="n"/>
      <c r="BH17" s="176" t="n"/>
      <c r="BI17" s="176" t="n"/>
      <c r="BJ17" s="176" t="n"/>
      <c r="BK17" s="176" t="n"/>
      <c r="BL17" s="176" t="n"/>
      <c r="BM17" s="176" t="n"/>
      <c r="BN17" s="176" t="n"/>
      <c r="BO17" s="176" t="n"/>
      <c r="BP17" s="177" t="n"/>
      <c r="BQ17" s="162" t="n"/>
    </row>
    <row r="18" outlineLevel="1" ht="17.25" customHeight="1" s="104">
      <c r="A18" s="162" t="n"/>
      <c r="B18" s="179" t="inlineStr">
        <is>
          <t>1.7</t>
        </is>
      </c>
      <c r="C18" s="180" t="inlineStr">
        <is>
          <t>WBS 작성 및 일정 계획 확정</t>
        </is>
      </c>
      <c r="D18" s="165" t="inlineStr">
        <is>
          <t>김한솔</t>
        </is>
      </c>
      <c r="E18" s="181" t="n">
        <v>46189</v>
      </c>
      <c r="F18" s="181" t="n">
        <v>46199</v>
      </c>
      <c r="G18" s="182">
        <f>NETWORKDAYS(E18,F18)</f>
        <v/>
      </c>
      <c r="H18" s="183" t="n">
        <v>0</v>
      </c>
      <c r="I18" s="184" t="n"/>
      <c r="J18" s="185" t="n"/>
      <c r="K18" s="186" t="n"/>
      <c r="L18" s="186" t="n"/>
      <c r="M18" s="186" t="n"/>
      <c r="N18" s="186" t="n"/>
      <c r="O18" s="187" t="n"/>
      <c r="P18" s="187" t="n"/>
      <c r="Q18" s="187" t="n"/>
      <c r="R18" s="187" t="n"/>
      <c r="S18" s="187" t="n"/>
      <c r="T18" s="187" t="n"/>
      <c r="U18" s="187" t="n"/>
      <c r="V18" s="187" t="n"/>
      <c r="W18" s="187" t="n"/>
      <c r="X18" s="186" t="n"/>
      <c r="Y18" s="186" t="n"/>
      <c r="Z18" s="186" t="n"/>
      <c r="AA18" s="186" t="n"/>
      <c r="AB18" s="186" t="n"/>
      <c r="AC18" s="186" t="n"/>
      <c r="AD18" s="186" t="n"/>
      <c r="AE18" s="186" t="n"/>
      <c r="AF18" s="186" t="n"/>
      <c r="AG18" s="186" t="n"/>
      <c r="AH18" s="186" t="n"/>
      <c r="AI18" s="186" t="n"/>
      <c r="AJ18" s="186" t="n"/>
      <c r="AK18" s="186" t="n"/>
      <c r="AL18" s="186" t="n"/>
      <c r="AM18" s="186" t="n"/>
      <c r="AN18" s="186" t="n"/>
      <c r="AO18" s="186" t="n"/>
      <c r="AP18" s="186" t="n"/>
      <c r="AQ18" s="186" t="n"/>
      <c r="AR18" s="186" t="n"/>
      <c r="AS18" s="186" t="n"/>
      <c r="AT18" s="186" t="n"/>
      <c r="AU18" s="186" t="n"/>
      <c r="AV18" s="186" t="n"/>
      <c r="AW18" s="186" t="n"/>
      <c r="AX18" s="186" t="n"/>
      <c r="AY18" s="186" t="n"/>
      <c r="AZ18" s="186" t="n"/>
      <c r="BA18" s="186" t="n"/>
      <c r="BB18" s="186" t="n"/>
      <c r="BC18" s="186" t="n"/>
      <c r="BD18" s="186" t="n"/>
      <c r="BE18" s="186" t="n"/>
      <c r="BF18" s="186" t="n"/>
      <c r="BG18" s="186" t="n"/>
      <c r="BH18" s="186" t="n"/>
      <c r="BI18" s="186" t="n"/>
      <c r="BJ18" s="186" t="n"/>
      <c r="BK18" s="186" t="n"/>
      <c r="BL18" s="186" t="n"/>
      <c r="BM18" s="186" t="n"/>
      <c r="BN18" s="186" t="n"/>
      <c r="BO18" s="186" t="n"/>
      <c r="BP18" s="188" t="n"/>
      <c r="BQ18" s="162" t="n"/>
    </row>
    <row r="19" ht="21" customHeight="1" s="104">
      <c r="A19" s="133" t="n"/>
      <c r="B19" s="189" t="inlineStr">
        <is>
          <t>1.8</t>
        </is>
      </c>
      <c r="C19" s="190" t="inlineStr">
        <is>
          <t>화면설계서 와이어프레임(챗봇 흐름)</t>
        </is>
      </c>
      <c r="D19" s="191" t="inlineStr">
        <is>
          <t>김한솔</t>
        </is>
      </c>
      <c r="E19" s="192" t="n">
        <v>46189</v>
      </c>
      <c r="F19" s="192" t="n">
        <v>46195</v>
      </c>
      <c r="G19" s="191">
        <f>NETWORKDAYS(E19,F19)</f>
        <v/>
      </c>
      <c r="H19" s="193" t="n">
        <v>0</v>
      </c>
      <c r="I19" s="194" t="n"/>
      <c r="J19" s="195" t="n"/>
      <c r="K19" s="196" t="n"/>
      <c r="L19" s="196" t="n"/>
      <c r="M19" s="194" t="n"/>
      <c r="N19" s="194" t="n"/>
      <c r="O19" s="197" t="n"/>
      <c r="P19" s="197" t="n"/>
      <c r="Q19" s="197" t="n"/>
      <c r="R19" s="197" t="n"/>
      <c r="S19" s="197" t="n"/>
      <c r="T19" s="194" t="n"/>
      <c r="U19" s="194" t="n"/>
      <c r="V19" s="194" t="n"/>
      <c r="W19" s="194" t="n"/>
      <c r="X19" s="194" t="n"/>
      <c r="Y19" s="194" t="n"/>
      <c r="Z19" s="194" t="n"/>
      <c r="AA19" s="194" t="n"/>
      <c r="AB19" s="194" t="n"/>
      <c r="AC19" s="194" t="n"/>
      <c r="AD19" s="194" t="n"/>
      <c r="AE19" s="194" t="n"/>
      <c r="AF19" s="194" t="n"/>
      <c r="AG19" s="194" t="n"/>
      <c r="AH19" s="194" t="n"/>
      <c r="AI19" s="194" t="n"/>
      <c r="AJ19" s="194" t="n"/>
      <c r="AK19" s="194" t="n"/>
      <c r="AL19" s="194" t="n"/>
      <c r="AM19" s="194" t="n"/>
      <c r="AN19" s="194" t="n"/>
      <c r="AO19" s="194" t="n"/>
      <c r="AP19" s="194" t="n"/>
      <c r="AQ19" s="194" t="n"/>
      <c r="AR19" s="194" t="n"/>
      <c r="AS19" s="194" t="n"/>
      <c r="AT19" s="194" t="n"/>
      <c r="AU19" s="194" t="n"/>
      <c r="AV19" s="194" t="n"/>
      <c r="AW19" s="194" t="n"/>
      <c r="AX19" s="194" t="n"/>
      <c r="AY19" s="194" t="n"/>
      <c r="AZ19" s="194" t="n"/>
      <c r="BA19" s="194" t="n"/>
      <c r="BB19" s="194" t="n"/>
      <c r="BC19" s="194" t="n"/>
      <c r="BD19" s="194" t="n"/>
      <c r="BE19" s="194" t="n"/>
      <c r="BF19" s="194" t="n"/>
      <c r="BG19" s="194" t="n"/>
      <c r="BH19" s="194" t="n"/>
      <c r="BI19" s="194" t="n"/>
      <c r="BJ19" s="194" t="n"/>
      <c r="BK19" s="194" t="n"/>
      <c r="BL19" s="194" t="n"/>
      <c r="BM19" s="194" t="n"/>
      <c r="BN19" s="194" t="n"/>
      <c r="BO19" s="194" t="n"/>
      <c r="BP19" s="194" t="n"/>
      <c r="BQ19" s="133" t="n"/>
    </row>
    <row r="20" outlineLevel="1" ht="17.25" customHeight="1" s="104">
      <c r="A20" s="162" t="n"/>
      <c r="B20" s="163" t="inlineStr">
        <is>
          <t>1.9</t>
        </is>
      </c>
      <c r="C20" s="164" t="inlineStr">
        <is>
          <t>[온보딩] 심리 테스트 문항/결과 유형 정의</t>
        </is>
      </c>
      <c r="D20" s="165" t="inlineStr">
        <is>
          <t>이성진</t>
        </is>
      </c>
      <c r="E20" s="166" t="n">
        <v>46190</v>
      </c>
      <c r="F20" s="166" t="n">
        <v>46192</v>
      </c>
      <c r="G20" s="165">
        <f>NETWORKDAYS(E20,F20)</f>
        <v/>
      </c>
      <c r="H20" s="167" t="n">
        <v>0</v>
      </c>
      <c r="I20" s="168" t="n"/>
      <c r="J20" s="169" t="n"/>
      <c r="K20" s="171" t="n"/>
      <c r="L20" s="171" t="n"/>
      <c r="M20" s="171" t="n"/>
      <c r="N20" s="171" t="n"/>
      <c r="O20" s="171" t="n"/>
      <c r="P20" s="170" t="n"/>
      <c r="Q20" s="170" t="n"/>
      <c r="R20" s="170" t="n"/>
      <c r="S20" s="171" t="n"/>
      <c r="T20" s="171" t="n"/>
      <c r="U20" s="171" t="n"/>
      <c r="V20" s="171" t="n"/>
      <c r="W20" s="171" t="n"/>
      <c r="X20" s="171" t="n"/>
      <c r="Y20" s="171" t="n"/>
      <c r="Z20" s="171" t="n"/>
      <c r="AA20" s="171" t="n"/>
      <c r="AB20" s="171" t="n"/>
      <c r="AC20" s="171" t="n"/>
      <c r="AD20" s="171" t="n"/>
      <c r="AE20" s="171" t="n"/>
      <c r="AF20" s="171" t="n"/>
      <c r="AG20" s="171" t="n"/>
      <c r="AH20" s="171" t="n"/>
      <c r="AI20" s="171" t="n"/>
      <c r="AJ20" s="171" t="n"/>
      <c r="AK20" s="171" t="n"/>
      <c r="AL20" s="171" t="n"/>
      <c r="AM20" s="171" t="n"/>
      <c r="AN20" s="171" t="n"/>
      <c r="AO20" s="171" t="n"/>
      <c r="AP20" s="171" t="n"/>
      <c r="AQ20" s="171" t="n"/>
      <c r="AR20" s="171" t="n"/>
      <c r="AS20" s="171" t="n"/>
      <c r="AT20" s="171" t="n"/>
      <c r="AU20" s="171" t="n"/>
      <c r="AV20" s="171" t="n"/>
      <c r="AW20" s="171" t="n"/>
      <c r="AX20" s="171" t="n"/>
      <c r="AY20" s="171" t="n"/>
      <c r="AZ20" s="171" t="n"/>
      <c r="BA20" s="171" t="n"/>
      <c r="BB20" s="171" t="n"/>
      <c r="BC20" s="171" t="n"/>
      <c r="BD20" s="171" t="n"/>
      <c r="BE20" s="171" t="n"/>
      <c r="BF20" s="171" t="n"/>
      <c r="BG20" s="171" t="n"/>
      <c r="BH20" s="171" t="n"/>
      <c r="BI20" s="171" t="n"/>
      <c r="BJ20" s="171" t="n"/>
      <c r="BK20" s="171" t="n"/>
      <c r="BL20" s="171" t="n"/>
      <c r="BM20" s="171" t="n"/>
      <c r="BN20" s="171" t="n"/>
      <c r="BO20" s="171" t="n"/>
      <c r="BP20" s="172" t="n"/>
      <c r="BQ20" s="162" t="n"/>
    </row>
    <row r="21" outlineLevel="1" ht="17.25" customHeight="1" s="104">
      <c r="A21" s="162" t="n"/>
      <c r="B21" s="163" t="inlineStr">
        <is>
          <t>1.10</t>
        </is>
      </c>
      <c r="C21" s="164" t="inlineStr">
        <is>
          <t>[온보딩] 운세 계산식/RAG/DB 정책 정의</t>
        </is>
      </c>
      <c r="D21" s="165" t="inlineStr">
        <is>
          <t>이성진</t>
        </is>
      </c>
      <c r="E21" s="166" t="n">
        <v>46191</v>
      </c>
      <c r="F21" s="166" t="n">
        <v>46196</v>
      </c>
      <c r="G21" s="165">
        <f>NETWORKDAYS(E21,F21)</f>
        <v/>
      </c>
      <c r="H21" s="167" t="n">
        <v>0</v>
      </c>
      <c r="I21" s="173" t="n"/>
      <c r="J21" s="174" t="n"/>
      <c r="K21" s="176" t="n"/>
      <c r="L21" s="176" t="n"/>
      <c r="M21" s="176" t="n"/>
      <c r="N21" s="176" t="n"/>
      <c r="O21" s="176" t="n"/>
      <c r="P21" s="176" t="n"/>
      <c r="Q21" s="175" t="n"/>
      <c r="R21" s="175" t="n"/>
      <c r="S21" s="175" t="n"/>
      <c r="T21" s="175" t="n"/>
      <c r="U21" s="176" t="n"/>
      <c r="V21" s="176" t="n"/>
      <c r="W21" s="176" t="n"/>
      <c r="X21" s="176" t="n"/>
      <c r="Y21" s="176" t="n"/>
      <c r="Z21" s="176" t="n"/>
      <c r="AA21" s="176" t="n"/>
      <c r="AB21" s="171" t="n"/>
      <c r="AC21" s="171" t="n"/>
      <c r="AD21" s="171" t="n"/>
      <c r="AE21" s="198" t="n"/>
      <c r="AF21" s="199" t="n"/>
      <c r="AG21" s="199" t="n"/>
      <c r="AH21" s="176" t="n"/>
      <c r="AI21" s="176" t="n"/>
      <c r="AJ21" s="176" t="n"/>
      <c r="AK21" s="176" t="n"/>
      <c r="AL21" s="176" t="n"/>
      <c r="AM21" s="176" t="n"/>
      <c r="AN21" s="176" t="n"/>
      <c r="AO21" s="176" t="n"/>
      <c r="AP21" s="176" t="n"/>
      <c r="AQ21" s="176" t="n"/>
      <c r="AR21" s="176" t="n"/>
      <c r="AS21" s="176" t="n"/>
      <c r="AT21" s="176" t="n"/>
      <c r="AU21" s="176" t="n"/>
      <c r="AV21" s="176" t="n"/>
      <c r="AW21" s="176" t="n"/>
      <c r="AX21" s="176" t="n"/>
      <c r="AY21" s="176" t="n"/>
      <c r="AZ21" s="176" t="n"/>
      <c r="BA21" s="176" t="n"/>
      <c r="BB21" s="176" t="n"/>
      <c r="BC21" s="176" t="n"/>
      <c r="BD21" s="176" t="n"/>
      <c r="BE21" s="176" t="n"/>
      <c r="BF21" s="176" t="n"/>
      <c r="BG21" s="176" t="n"/>
      <c r="BH21" s="176" t="n"/>
      <c r="BI21" s="176" t="n"/>
      <c r="BJ21" s="176" t="n"/>
      <c r="BK21" s="176" t="n"/>
      <c r="BL21" s="176" t="n"/>
      <c r="BM21" s="176" t="n"/>
      <c r="BN21" s="176" t="n"/>
      <c r="BO21" s="176" t="n"/>
      <c r="BP21" s="177" t="n"/>
      <c r="BQ21" s="162" t="n"/>
    </row>
    <row r="22" outlineLevel="1" ht="17.25" customHeight="1" s="104">
      <c r="A22" s="162" t="n"/>
      <c r="B22" s="163" t="inlineStr">
        <is>
          <t>1.11</t>
        </is>
      </c>
      <c r="C22" s="178" t="inlineStr">
        <is>
          <t>화면설계서 작성(페이지): 방 메뉴·프로필·게시판·설정·관리자</t>
        </is>
      </c>
      <c r="D22" s="165" t="inlineStr">
        <is>
          <t>한재웅</t>
        </is>
      </c>
      <c r="E22" s="166" t="n">
        <v>46193</v>
      </c>
      <c r="F22" s="166" t="n">
        <v>46199</v>
      </c>
      <c r="G22" s="165">
        <f>NETWORKDAYS(E22,F22)</f>
        <v/>
      </c>
      <c r="H22" s="167" t="n">
        <v>0</v>
      </c>
      <c r="I22" s="173" t="n"/>
      <c r="J22" s="174" t="n"/>
      <c r="K22" s="176" t="n"/>
      <c r="L22" s="176" t="n"/>
      <c r="M22" s="176" t="n"/>
      <c r="N22" s="176" t="n"/>
      <c r="O22" s="176" t="n"/>
      <c r="P22" s="176" t="n"/>
      <c r="Q22" s="176" t="n"/>
      <c r="R22" s="176" t="n"/>
      <c r="S22" s="175" t="n"/>
      <c r="T22" s="175" t="n"/>
      <c r="U22" s="175" t="n"/>
      <c r="V22" s="175" t="n"/>
      <c r="W22" s="175" t="n"/>
      <c r="X22" s="176" t="n"/>
      <c r="Y22" s="176" t="n"/>
      <c r="Z22" s="176" t="n"/>
      <c r="AA22" s="176" t="n"/>
      <c r="AB22" s="176" t="n"/>
      <c r="AC22" s="176" t="n"/>
      <c r="AD22" s="176" t="n"/>
      <c r="AE22" s="176" t="n"/>
      <c r="AF22" s="176" t="n"/>
      <c r="AG22" s="176" t="n"/>
      <c r="AH22" s="176" t="n"/>
      <c r="AI22" s="176" t="n"/>
      <c r="AJ22" s="176" t="n"/>
      <c r="AK22" s="176" t="n"/>
      <c r="AL22" s="176" t="n"/>
      <c r="AM22" s="176" t="n"/>
      <c r="AN22" s="176" t="n"/>
      <c r="AO22" s="176" t="n"/>
      <c r="AP22" s="176" t="n"/>
      <c r="AQ22" s="176" t="n"/>
      <c r="AR22" s="176" t="n"/>
      <c r="AS22" s="176" t="n"/>
      <c r="AT22" s="176" t="n"/>
      <c r="AU22" s="176" t="n"/>
      <c r="AV22" s="176" t="n"/>
      <c r="AW22" s="176" t="n"/>
      <c r="AX22" s="176" t="n"/>
      <c r="AY22" s="176" t="n"/>
      <c r="AZ22" s="176" t="n"/>
      <c r="BA22" s="176" t="n"/>
      <c r="BB22" s="176" t="n"/>
      <c r="BC22" s="176" t="n"/>
      <c r="BD22" s="176" t="n"/>
      <c r="BE22" s="176" t="n"/>
      <c r="BF22" s="176" t="n"/>
      <c r="BG22" s="176" t="n"/>
      <c r="BH22" s="176" t="n"/>
      <c r="BI22" s="176" t="n"/>
      <c r="BJ22" s="176" t="n"/>
      <c r="BK22" s="176" t="n"/>
      <c r="BL22" s="176" t="n"/>
      <c r="BM22" s="176" t="n"/>
      <c r="BN22" s="176" t="n"/>
      <c r="BO22" s="176" t="n"/>
      <c r="BP22" s="177" t="n"/>
      <c r="BQ22" s="162" t="n"/>
    </row>
    <row r="23" outlineLevel="1" ht="17.25" customHeight="1" s="104">
      <c r="A23" s="162" t="n"/>
      <c r="B23" s="163" t="inlineStr">
        <is>
          <t>1.12</t>
        </is>
      </c>
      <c r="C23" s="164" t="inlineStr">
        <is>
          <t>[온보딩] 캘린더 감정/운세 연동 정책 정의</t>
        </is>
      </c>
      <c r="D23" s="165" t="inlineStr">
        <is>
          <t>이성진</t>
        </is>
      </c>
      <c r="E23" s="166" t="n">
        <v>46195</v>
      </c>
      <c r="F23" s="166" t="n">
        <v>46196</v>
      </c>
      <c r="G23" s="165">
        <f>NETWORKDAYS(E23,F23)</f>
        <v/>
      </c>
      <c r="H23" s="167" t="n">
        <v>0</v>
      </c>
      <c r="I23" s="173" t="n"/>
      <c r="J23" s="174" t="n"/>
      <c r="K23" s="176" t="n"/>
      <c r="L23" s="176" t="n"/>
      <c r="M23" s="176" t="n"/>
      <c r="N23" s="176" t="n"/>
      <c r="O23" s="176" t="n"/>
      <c r="P23" s="176" t="n"/>
      <c r="Q23" s="176" t="n"/>
      <c r="R23" s="176" t="n"/>
      <c r="S23" s="175" t="n"/>
      <c r="T23" s="175" t="n"/>
      <c r="U23" s="176" t="n"/>
      <c r="V23" s="176" t="n"/>
      <c r="W23" s="176" t="n"/>
      <c r="X23" s="176" t="n"/>
      <c r="Y23" s="176" t="n"/>
      <c r="Z23" s="176" t="n"/>
      <c r="AA23" s="176" t="n"/>
      <c r="AB23" s="176" t="n"/>
      <c r="AC23" s="176" t="n"/>
      <c r="AD23" s="176" t="n"/>
      <c r="AE23" s="176" t="n"/>
      <c r="AF23" s="176" t="n"/>
      <c r="AG23" s="176" t="n"/>
      <c r="AH23" s="176" t="n"/>
      <c r="AI23" s="176" t="n"/>
      <c r="AJ23" s="176" t="n"/>
      <c r="AK23" s="176" t="n"/>
      <c r="AL23" s="176" t="n"/>
      <c r="AM23" s="176" t="n"/>
      <c r="AN23" s="176" t="n"/>
      <c r="AO23" s="176" t="n"/>
      <c r="AP23" s="176" t="n"/>
      <c r="AQ23" s="176" t="n"/>
      <c r="AR23" s="176" t="n"/>
      <c r="AS23" s="176" t="n"/>
      <c r="AT23" s="176" t="n"/>
      <c r="AU23" s="176" t="n"/>
      <c r="AV23" s="176" t="n"/>
      <c r="AW23" s="176" t="n"/>
      <c r="AX23" s="176" t="n"/>
      <c r="AY23" s="176" t="n"/>
      <c r="AZ23" s="176" t="n"/>
      <c r="BA23" s="176" t="n"/>
      <c r="BB23" s="176" t="n"/>
      <c r="BC23" s="176" t="n"/>
      <c r="BD23" s="176" t="n"/>
      <c r="BE23" s="176" t="n"/>
      <c r="BF23" s="176" t="n"/>
      <c r="BG23" s="176" t="n"/>
      <c r="BH23" s="176" t="n"/>
      <c r="BI23" s="176" t="n"/>
      <c r="BJ23" s="176" t="n"/>
      <c r="BK23" s="176" t="n"/>
      <c r="BL23" s="176" t="n"/>
      <c r="BM23" s="176" t="n"/>
      <c r="BN23" s="176" t="n"/>
      <c r="BO23" s="176" t="n"/>
      <c r="BP23" s="177" t="n"/>
      <c r="BQ23" s="162" t="n"/>
    </row>
    <row r="24" ht="21" customHeight="1" s="104">
      <c r="A24" s="133" t="n"/>
      <c r="B24" s="156" t="inlineStr">
        <is>
          <t>2</t>
        </is>
      </c>
      <c r="C24" s="157" t="inlineStr">
        <is>
          <t>프로젝트 정의 및 계획</t>
        </is>
      </c>
      <c r="D24" s="158" t="n"/>
      <c r="E24" s="158" t="n"/>
      <c r="F24" s="158" t="n"/>
      <c r="G24" s="158" t="n"/>
      <c r="H24" s="158" t="n"/>
      <c r="I24" s="159" t="n"/>
      <c r="J24" s="160" t="n"/>
      <c r="K24" s="161" t="n"/>
      <c r="L24" s="161" t="n"/>
      <c r="M24" s="159" t="n"/>
      <c r="N24" s="159" t="n"/>
      <c r="O24" s="159" t="n"/>
      <c r="P24" s="159" t="n"/>
      <c r="Q24" s="159" t="n"/>
      <c r="R24" s="159" t="n"/>
      <c r="S24" s="159" t="n"/>
      <c r="T24" s="159" t="n"/>
      <c r="U24" s="159" t="n"/>
      <c r="V24" s="159" t="n"/>
      <c r="W24" s="159" t="n"/>
      <c r="X24" s="159" t="n"/>
      <c r="Y24" s="159" t="n"/>
      <c r="Z24" s="159" t="n"/>
      <c r="AA24" s="159" t="n"/>
      <c r="AB24" s="159" t="n"/>
      <c r="AC24" s="159" t="n"/>
      <c r="AD24" s="159" t="n"/>
      <c r="AE24" s="159" t="n"/>
      <c r="AF24" s="159" t="n"/>
      <c r="AG24" s="159" t="n"/>
      <c r="AH24" s="159" t="n"/>
      <c r="AI24" s="159" t="n"/>
      <c r="AJ24" s="159" t="n"/>
      <c r="AK24" s="159" t="n"/>
      <c r="AL24" s="159" t="n"/>
      <c r="AM24" s="159" t="n"/>
      <c r="AN24" s="159" t="n"/>
      <c r="AO24" s="159" t="n"/>
      <c r="AP24" s="159" t="n"/>
      <c r="AQ24" s="159" t="n"/>
      <c r="AR24" s="159" t="n"/>
      <c r="AS24" s="159" t="n"/>
      <c r="AT24" s="159" t="n"/>
      <c r="AU24" s="159" t="n"/>
      <c r="AV24" s="159" t="n"/>
      <c r="AW24" s="159" t="n"/>
      <c r="AX24" s="159" t="n"/>
      <c r="AY24" s="159" t="n"/>
      <c r="AZ24" s="159" t="n"/>
      <c r="BA24" s="159" t="n"/>
      <c r="BB24" s="159" t="n"/>
      <c r="BC24" s="159" t="n"/>
      <c r="BD24" s="159" t="n"/>
      <c r="BE24" s="159" t="n"/>
      <c r="BF24" s="159" t="n"/>
      <c r="BG24" s="159" t="n"/>
      <c r="BH24" s="159" t="n"/>
      <c r="BI24" s="159" t="n"/>
      <c r="BJ24" s="159" t="n"/>
      <c r="BK24" s="159" t="n"/>
      <c r="BL24" s="159" t="n"/>
      <c r="BM24" s="159" t="n"/>
      <c r="BN24" s="159" t="n"/>
      <c r="BO24" s="159" t="n"/>
      <c r="BP24" s="159" t="n"/>
      <c r="BQ24" s="133" t="n"/>
    </row>
    <row r="25" outlineLevel="1" ht="17.25" customHeight="1" s="104">
      <c r="A25" s="162" t="n"/>
      <c r="B25" s="163" t="inlineStr">
        <is>
          <t>2.1</t>
        </is>
      </c>
      <c r="C25" s="164" t="inlineStr">
        <is>
          <t>DB 스키마(PostgreSQL·Neo4j) 설계</t>
        </is>
      </c>
      <c r="D25" s="165" t="inlineStr">
        <is>
          <t>김한솔</t>
        </is>
      </c>
      <c r="E25" s="166" t="n">
        <v>46190</v>
      </c>
      <c r="F25" s="166" t="n">
        <v>46197</v>
      </c>
      <c r="G25" s="165">
        <f>NETWORKDAYS(E25,F25)</f>
        <v/>
      </c>
      <c r="H25" s="167" t="n">
        <v>0</v>
      </c>
      <c r="I25" s="168" t="n"/>
      <c r="J25" s="169" t="n"/>
      <c r="K25" s="171" t="n"/>
      <c r="L25" s="171" t="n"/>
      <c r="M25" s="171" t="n"/>
      <c r="N25" s="176" t="n"/>
      <c r="O25" s="176" t="n"/>
      <c r="P25" s="175" t="n"/>
      <c r="Q25" s="175" t="n"/>
      <c r="R25" s="175" t="n"/>
      <c r="S25" s="170" t="n"/>
      <c r="T25" s="170" t="n"/>
      <c r="U25" s="170" t="n"/>
      <c r="V25" s="171" t="n"/>
      <c r="W25" s="171" t="n"/>
      <c r="X25" s="171" t="n"/>
      <c r="Y25" s="171" t="n"/>
      <c r="Z25" s="171" t="n"/>
      <c r="AA25" s="171" t="n"/>
      <c r="AB25" s="171" t="n"/>
      <c r="AC25" s="171" t="n"/>
      <c r="AD25" s="171" t="n"/>
      <c r="AE25" s="171" t="n"/>
      <c r="AF25" s="171" t="n"/>
      <c r="AG25" s="171" t="n"/>
      <c r="AH25" s="171" t="n"/>
      <c r="AI25" s="171" t="n"/>
      <c r="AJ25" s="171" t="n"/>
      <c r="AK25" s="171" t="n"/>
      <c r="AL25" s="171" t="n"/>
      <c r="AM25" s="171" t="n"/>
      <c r="AN25" s="171" t="n"/>
      <c r="AO25" s="171" t="n"/>
      <c r="AP25" s="171" t="n"/>
      <c r="AQ25" s="171" t="n"/>
      <c r="AR25" s="171" t="n"/>
      <c r="AS25" s="171" t="n"/>
      <c r="AT25" s="171" t="n"/>
      <c r="AU25" s="171" t="n"/>
      <c r="AV25" s="171" t="n"/>
      <c r="AW25" s="171" t="n"/>
      <c r="AX25" s="171" t="n"/>
      <c r="AY25" s="171" t="n"/>
      <c r="AZ25" s="171" t="n"/>
      <c r="BA25" s="171" t="n"/>
      <c r="BB25" s="171" t="n"/>
      <c r="BC25" s="171" t="n"/>
      <c r="BD25" s="171" t="n"/>
      <c r="BE25" s="171" t="n"/>
      <c r="BF25" s="171" t="n"/>
      <c r="BG25" s="171" t="n"/>
      <c r="BH25" s="171" t="n"/>
      <c r="BI25" s="171" t="n"/>
      <c r="BJ25" s="171" t="n"/>
      <c r="BK25" s="171" t="n"/>
      <c r="BL25" s="171" t="n"/>
      <c r="BM25" s="171" t="n"/>
      <c r="BN25" s="171" t="n"/>
      <c r="BO25" s="171" t="n"/>
      <c r="BP25" s="172" t="n"/>
      <c r="BQ25" s="162" t="n"/>
    </row>
    <row r="26" outlineLevel="1" ht="17.25" customHeight="1" s="104">
      <c r="A26" s="162" t="n"/>
      <c r="B26" s="163" t="inlineStr">
        <is>
          <t>2.2</t>
        </is>
      </c>
      <c r="C26" s="164" t="inlineStr">
        <is>
          <t>PostgreSQL DB 생성 및 DDL 적용</t>
        </is>
      </c>
      <c r="D26" s="165" t="inlineStr">
        <is>
          <t>박송원</t>
        </is>
      </c>
      <c r="E26" s="166" t="n">
        <v>46195</v>
      </c>
      <c r="F26" s="166" t="n">
        <v>46196</v>
      </c>
      <c r="G26" s="165">
        <f>NETWORKDAYS(E26,F26)</f>
        <v/>
      </c>
      <c r="H26" s="167" t="n">
        <v>0</v>
      </c>
      <c r="I26" s="173" t="n"/>
      <c r="J26" s="174" t="n"/>
      <c r="K26" s="176" t="n"/>
      <c r="L26" s="176" t="n"/>
      <c r="M26" s="176" t="n"/>
      <c r="N26" s="176" t="n"/>
      <c r="O26" s="176" t="n"/>
      <c r="P26" s="176" t="n"/>
      <c r="Q26" s="176" t="n"/>
      <c r="R26" s="176" t="n"/>
      <c r="S26" s="175" t="n"/>
      <c r="T26" s="175" t="n"/>
      <c r="U26" s="176" t="n"/>
      <c r="V26" s="176" t="n"/>
      <c r="W26" s="176" t="n"/>
      <c r="X26" s="176" t="n"/>
      <c r="Y26" s="176" t="n"/>
      <c r="Z26" s="176" t="n"/>
      <c r="AA26" s="176" t="n"/>
      <c r="AB26" s="176" t="n"/>
      <c r="AC26" s="176" t="n"/>
      <c r="AD26" s="176" t="n"/>
      <c r="AE26" s="176" t="n"/>
      <c r="AF26" s="176" t="n"/>
      <c r="AG26" s="176" t="n"/>
      <c r="AH26" s="176" t="n"/>
      <c r="AI26" s="176" t="n"/>
      <c r="AJ26" s="176" t="n"/>
      <c r="AK26" s="176" t="n"/>
      <c r="AL26" s="176" t="n"/>
      <c r="AM26" s="176" t="n"/>
      <c r="AN26" s="176" t="n"/>
      <c r="AO26" s="176" t="n"/>
      <c r="AP26" s="176" t="n"/>
      <c r="AQ26" s="176" t="n"/>
      <c r="AR26" s="176" t="n"/>
      <c r="AS26" s="176" t="n"/>
      <c r="AT26" s="176" t="n"/>
      <c r="AU26" s="176" t="n"/>
      <c r="AV26" s="176" t="n"/>
      <c r="AW26" s="176" t="n"/>
      <c r="AX26" s="176" t="n"/>
      <c r="AY26" s="176" t="n"/>
      <c r="AZ26" s="176" t="n"/>
      <c r="BA26" s="176" t="n"/>
      <c r="BB26" s="176" t="n"/>
      <c r="BC26" s="176" t="n"/>
      <c r="BD26" s="176" t="n"/>
      <c r="BE26" s="176" t="n"/>
      <c r="BF26" s="176" t="n"/>
      <c r="BG26" s="176" t="n"/>
      <c r="BH26" s="176" t="n"/>
      <c r="BI26" s="176" t="n"/>
      <c r="BJ26" s="176" t="n"/>
      <c r="BK26" s="176" t="n"/>
      <c r="BL26" s="176" t="n"/>
      <c r="BM26" s="176" t="n"/>
      <c r="BN26" s="176" t="n"/>
      <c r="BO26" s="176" t="n"/>
      <c r="BP26" s="177" t="n"/>
      <c r="BQ26" s="162" t="n"/>
    </row>
    <row r="27" outlineLevel="1" ht="17.25" customHeight="1" s="104">
      <c r="A27" s="162" t="n"/>
      <c r="B27" s="163" t="inlineStr">
        <is>
          <t>2.3</t>
        </is>
      </c>
      <c r="C27" s="178" t="inlineStr">
        <is>
          <t>회원·프로필·설정·차단·탈퇴 데이터 구조 및 DB 설계</t>
        </is>
      </c>
      <c r="D27" s="165" t="inlineStr">
        <is>
          <t>한재웅</t>
        </is>
      </c>
      <c r="E27" s="166" t="n">
        <v>46197</v>
      </c>
      <c r="F27" s="166" t="n">
        <v>46206</v>
      </c>
      <c r="G27" s="165">
        <f>NETWORKDAYS(E27,F27)</f>
        <v/>
      </c>
      <c r="H27" s="167" t="n">
        <v>0</v>
      </c>
      <c r="I27" s="173" t="n"/>
      <c r="J27" s="174" t="n"/>
      <c r="K27" s="176" t="n"/>
      <c r="L27" s="176" t="n"/>
      <c r="M27" s="176" t="n"/>
      <c r="N27" s="176" t="n"/>
      <c r="O27" s="176" t="n"/>
      <c r="P27" s="176" t="n"/>
      <c r="Q27" s="176" t="n"/>
      <c r="R27" s="176" t="n"/>
      <c r="S27" s="171" t="n"/>
      <c r="T27" s="171" t="n"/>
      <c r="U27" s="170" t="n"/>
      <c r="V27" s="170" t="n"/>
      <c r="W27" s="175" t="n"/>
      <c r="X27" s="175" t="n"/>
      <c r="Y27" s="175" t="n"/>
      <c r="Z27" s="175" t="n"/>
      <c r="AA27" s="175" t="n"/>
      <c r="AB27" s="175" t="n"/>
      <c r="AC27" s="176" t="n"/>
      <c r="AD27" s="176" t="n"/>
      <c r="AE27" s="176" t="n"/>
      <c r="AF27" s="176" t="n"/>
      <c r="AG27" s="176" t="n"/>
      <c r="AH27" s="176" t="n"/>
      <c r="AI27" s="176" t="n"/>
      <c r="AJ27" s="176" t="n"/>
      <c r="AK27" s="176" t="n"/>
      <c r="AL27" s="176" t="n"/>
      <c r="AM27" s="176" t="n"/>
      <c r="AN27" s="176" t="n"/>
      <c r="AO27" s="176" t="n"/>
      <c r="AP27" s="176" t="n"/>
      <c r="AQ27" s="176" t="n"/>
      <c r="AR27" s="176" t="n"/>
      <c r="AS27" s="176" t="n"/>
      <c r="AT27" s="176" t="n"/>
      <c r="AU27" s="176" t="n"/>
      <c r="AV27" s="176" t="n"/>
      <c r="AW27" s="176" t="n"/>
      <c r="AX27" s="176" t="n"/>
      <c r="AY27" s="176" t="n"/>
      <c r="AZ27" s="176" t="n"/>
      <c r="BA27" s="176" t="n"/>
      <c r="BB27" s="176" t="n"/>
      <c r="BC27" s="176" t="n"/>
      <c r="BD27" s="176" t="n"/>
      <c r="BE27" s="176" t="n"/>
      <c r="BF27" s="176" t="n"/>
      <c r="BG27" s="176" t="n"/>
      <c r="BH27" s="176" t="n"/>
      <c r="BI27" s="176" t="n"/>
      <c r="BJ27" s="176" t="n"/>
      <c r="BK27" s="176" t="n"/>
      <c r="BL27" s="176" t="n"/>
      <c r="BM27" s="176" t="n"/>
      <c r="BN27" s="176" t="n"/>
      <c r="BO27" s="176" t="n"/>
      <c r="BP27" s="177" t="n"/>
      <c r="BQ27" s="162" t="n"/>
    </row>
    <row r="28" outlineLevel="1" ht="17.25" customHeight="1" s="104">
      <c r="A28" s="162" t="n"/>
      <c r="B28" s="163" t="inlineStr">
        <is>
          <t>2.4</t>
        </is>
      </c>
      <c r="C28" s="178" t="inlineStr">
        <is>
          <t>커뮤니티 게시글·댓글·신고·1:1 채팅 저장 구조 설계</t>
        </is>
      </c>
      <c r="D28" s="165" t="inlineStr">
        <is>
          <t>한재웅</t>
        </is>
      </c>
      <c r="E28" s="166" t="n">
        <v>46197</v>
      </c>
      <c r="F28" s="166" t="n">
        <v>46206</v>
      </c>
      <c r="G28" s="165">
        <f>NETWORKDAYS(E28,F28)</f>
        <v/>
      </c>
      <c r="H28" s="167" t="n">
        <v>0</v>
      </c>
      <c r="I28" s="173" t="n"/>
      <c r="J28" s="174" t="n"/>
      <c r="K28" s="176" t="n"/>
      <c r="L28" s="176" t="n"/>
      <c r="M28" s="176" t="n"/>
      <c r="N28" s="176" t="n"/>
      <c r="O28" s="176" t="n"/>
      <c r="P28" s="176" t="n"/>
      <c r="Q28" s="176" t="n"/>
      <c r="R28" s="176" t="n"/>
      <c r="S28" s="171" t="n"/>
      <c r="T28" s="171" t="n"/>
      <c r="U28" s="170" t="n"/>
      <c r="V28" s="170" t="n"/>
      <c r="W28" s="175" t="n"/>
      <c r="X28" s="175" t="n"/>
      <c r="Y28" s="175" t="n"/>
      <c r="Z28" s="175" t="n"/>
      <c r="AA28" s="175" t="n"/>
      <c r="AB28" s="175" t="n"/>
      <c r="AC28" s="176" t="n"/>
      <c r="AD28" s="176" t="n"/>
      <c r="AE28" s="176" t="n"/>
      <c r="AF28" s="176" t="n"/>
      <c r="AG28" s="176" t="n"/>
      <c r="AH28" s="176" t="n"/>
      <c r="AI28" s="176" t="n"/>
      <c r="AJ28" s="176" t="n"/>
      <c r="AK28" s="176" t="n"/>
      <c r="AL28" s="176" t="n"/>
      <c r="AM28" s="176" t="n"/>
      <c r="AN28" s="176" t="n"/>
      <c r="AO28" s="176" t="n"/>
      <c r="AP28" s="176" t="n"/>
      <c r="AQ28" s="176" t="n"/>
      <c r="AR28" s="176" t="n"/>
      <c r="AS28" s="176" t="n"/>
      <c r="AT28" s="176" t="n"/>
      <c r="AU28" s="176" t="n"/>
      <c r="AV28" s="176" t="n"/>
      <c r="AW28" s="176" t="n"/>
      <c r="AX28" s="176" t="n"/>
      <c r="AY28" s="176" t="n"/>
      <c r="AZ28" s="176" t="n"/>
      <c r="BA28" s="176" t="n"/>
      <c r="BB28" s="176" t="n"/>
      <c r="BC28" s="176" t="n"/>
      <c r="BD28" s="176" t="n"/>
      <c r="BE28" s="176" t="n"/>
      <c r="BF28" s="176" t="n"/>
      <c r="BG28" s="176" t="n"/>
      <c r="BH28" s="176" t="n"/>
      <c r="BI28" s="176" t="n"/>
      <c r="BJ28" s="176" t="n"/>
      <c r="BK28" s="176" t="n"/>
      <c r="BL28" s="176" t="n"/>
      <c r="BM28" s="176" t="n"/>
      <c r="BN28" s="176" t="n"/>
      <c r="BO28" s="176" t="n"/>
      <c r="BP28" s="177" t="n"/>
      <c r="BQ28" s="162" t="n"/>
    </row>
    <row r="29" outlineLevel="1" ht="17.25" customHeight="1" s="104">
      <c r="A29" s="162" t="n"/>
      <c r="B29" s="163" t="inlineStr">
        <is>
          <t>2.5</t>
        </is>
      </c>
      <c r="C29" s="164" t="inlineStr">
        <is>
          <t>[온보딩] 메인/로그인 화면 와이어프레임</t>
        </is>
      </c>
      <c r="D29" s="165" t="inlineStr">
        <is>
          <t>이성진</t>
        </is>
      </c>
      <c r="E29" s="166" t="n">
        <v>46197</v>
      </c>
      <c r="F29" s="166" t="n">
        <v>46202</v>
      </c>
      <c r="G29" s="165">
        <f>NETWORKDAYS(E29,F29)</f>
        <v/>
      </c>
      <c r="H29" s="167" t="n">
        <v>0</v>
      </c>
      <c r="I29" s="173" t="n"/>
      <c r="J29" s="174" t="n"/>
      <c r="K29" s="176" t="n"/>
      <c r="L29" s="176" t="n"/>
      <c r="M29" s="176" t="n"/>
      <c r="N29" s="176" t="n"/>
      <c r="O29" s="176" t="n"/>
      <c r="P29" s="176" t="n"/>
      <c r="Q29" s="176" t="n"/>
      <c r="R29" s="176" t="n"/>
      <c r="S29" s="171" t="n"/>
      <c r="T29" s="171" t="n"/>
      <c r="U29" s="170" t="n"/>
      <c r="V29" s="170" t="n"/>
      <c r="W29" s="175" t="n"/>
      <c r="X29" s="175" t="n"/>
      <c r="Y29" s="176" t="n"/>
      <c r="Z29" s="176" t="n"/>
      <c r="AA29" s="176" t="n"/>
      <c r="AB29" s="176" t="n"/>
      <c r="AC29" s="176" t="n"/>
      <c r="AD29" s="176" t="n"/>
      <c r="AE29" s="176" t="n"/>
      <c r="AF29" s="176" t="n"/>
      <c r="AG29" s="176" t="n"/>
      <c r="AH29" s="176" t="n"/>
      <c r="AI29" s="176" t="n"/>
      <c r="AJ29" s="176" t="n"/>
      <c r="AK29" s="176" t="n"/>
      <c r="AL29" s="176" t="n"/>
      <c r="AM29" s="176" t="n"/>
      <c r="AN29" s="176" t="n"/>
      <c r="AO29" s="176" t="n"/>
      <c r="AP29" s="176" t="n"/>
      <c r="AQ29" s="176" t="n"/>
      <c r="AR29" s="176" t="n"/>
      <c r="AS29" s="176" t="n"/>
      <c r="AT29" s="176" t="n"/>
      <c r="AU29" s="176" t="n"/>
      <c r="AV29" s="176" t="n"/>
      <c r="AW29" s="176" t="n"/>
      <c r="AX29" s="176" t="n"/>
      <c r="AY29" s="176" t="n"/>
      <c r="AZ29" s="176" t="n"/>
      <c r="BA29" s="176" t="n"/>
      <c r="BB29" s="176" t="n"/>
      <c r="BC29" s="176" t="n"/>
      <c r="BD29" s="176" t="n"/>
      <c r="BE29" s="176" t="n"/>
      <c r="BF29" s="176" t="n"/>
      <c r="BG29" s="176" t="n"/>
      <c r="BH29" s="176" t="n"/>
      <c r="BI29" s="176" t="n"/>
      <c r="BJ29" s="176" t="n"/>
      <c r="BK29" s="176" t="n"/>
      <c r="BL29" s="176" t="n"/>
      <c r="BM29" s="176" t="n"/>
      <c r="BN29" s="176" t="n"/>
      <c r="BO29" s="176" t="n"/>
      <c r="BP29" s="177" t="n"/>
      <c r="BQ29" s="162" t="n"/>
    </row>
    <row r="30" outlineLevel="1" ht="17.25" customHeight="1" s="104">
      <c r="A30" s="162" t="n"/>
      <c r="B30" s="163" t="inlineStr">
        <is>
          <t>2.6</t>
        </is>
      </c>
      <c r="C30" s="164" t="inlineStr">
        <is>
          <t>8종 핵심 데이터셋(감성대화·KOTE 등) 전처리</t>
        </is>
      </c>
      <c r="D30" s="165" t="inlineStr">
        <is>
          <t>김한솔</t>
        </is>
      </c>
      <c r="E30" s="166" t="n">
        <v>46198</v>
      </c>
      <c r="F30" s="166" t="n">
        <v>46203</v>
      </c>
      <c r="G30" s="165">
        <f>NETWORKDAYS(E30,F30)</f>
        <v/>
      </c>
      <c r="H30" s="167" t="n">
        <v>0</v>
      </c>
      <c r="I30" s="173" t="n"/>
      <c r="J30" s="174" t="n"/>
      <c r="K30" s="176" t="n"/>
      <c r="L30" s="176" t="n"/>
      <c r="M30" s="176" t="n"/>
      <c r="N30" s="176" t="n"/>
      <c r="O30" s="176" t="n"/>
      <c r="P30" s="176" t="n"/>
      <c r="Q30" s="176" t="n"/>
      <c r="R30" s="176" t="n"/>
      <c r="S30" s="171" t="n"/>
      <c r="T30" s="171" t="n"/>
      <c r="U30" s="171" t="n"/>
      <c r="V30" s="170" t="n"/>
      <c r="W30" s="175" t="n"/>
      <c r="X30" s="175" t="n"/>
      <c r="Y30" s="175" t="n"/>
      <c r="Z30" s="176" t="n"/>
      <c r="AA30" s="176" t="n"/>
      <c r="AB30" s="176" t="n"/>
      <c r="AC30" s="176" t="n"/>
      <c r="AD30" s="176" t="n"/>
      <c r="AE30" s="176" t="n"/>
      <c r="AF30" s="176" t="n"/>
      <c r="AG30" s="176" t="n"/>
      <c r="AH30" s="176" t="n"/>
      <c r="AI30" s="176" t="n"/>
      <c r="AJ30" s="176" t="n"/>
      <c r="AK30" s="176" t="n"/>
      <c r="AL30" s="176" t="n"/>
      <c r="AM30" s="176" t="n"/>
      <c r="AN30" s="176" t="n"/>
      <c r="AO30" s="176" t="n"/>
      <c r="AP30" s="176" t="n"/>
      <c r="AQ30" s="176" t="n"/>
      <c r="AR30" s="176" t="n"/>
      <c r="AS30" s="176" t="n"/>
      <c r="AT30" s="176" t="n"/>
      <c r="AU30" s="176" t="n"/>
      <c r="AV30" s="176" t="n"/>
      <c r="AW30" s="176" t="n"/>
      <c r="AX30" s="176" t="n"/>
      <c r="AY30" s="176" t="n"/>
      <c r="AZ30" s="176" t="n"/>
      <c r="BA30" s="176" t="n"/>
      <c r="BB30" s="176" t="n"/>
      <c r="BC30" s="176" t="n"/>
      <c r="BD30" s="176" t="n"/>
      <c r="BE30" s="176" t="n"/>
      <c r="BF30" s="176" t="n"/>
      <c r="BG30" s="176" t="n"/>
      <c r="BH30" s="176" t="n"/>
      <c r="BI30" s="176" t="n"/>
      <c r="BJ30" s="176" t="n"/>
      <c r="BK30" s="176" t="n"/>
      <c r="BL30" s="176" t="n"/>
      <c r="BM30" s="176" t="n"/>
      <c r="BN30" s="176" t="n"/>
      <c r="BO30" s="176" t="n"/>
      <c r="BP30" s="177" t="n"/>
      <c r="BQ30" s="162" t="n"/>
    </row>
    <row r="31" ht="21" customHeight="1" s="104">
      <c r="A31" s="133" t="n"/>
      <c r="B31" s="189" t="inlineStr">
        <is>
          <t>2.7</t>
        </is>
      </c>
      <c r="C31" s="200" t="inlineStr">
        <is>
          <t>[온보딩] 캐릭터 선택·페르소나 화면 설계</t>
        </is>
      </c>
      <c r="D31" s="191" t="inlineStr">
        <is>
          <t>이성진</t>
        </is>
      </c>
      <c r="E31" s="192" t="n">
        <v>46199</v>
      </c>
      <c r="F31" s="192" t="n">
        <v>46204</v>
      </c>
      <c r="G31" s="191">
        <f>NETWORKDAYS(E31,F31)</f>
        <v/>
      </c>
      <c r="H31" s="193" t="n">
        <v>0</v>
      </c>
      <c r="I31" s="194" t="n"/>
      <c r="J31" s="195" t="n"/>
      <c r="K31" s="196" t="n"/>
      <c r="L31" s="196" t="n"/>
      <c r="M31" s="194" t="n"/>
      <c r="N31" s="194" t="n"/>
      <c r="O31" s="194" t="n"/>
      <c r="P31" s="194" t="n"/>
      <c r="Q31" s="194" t="n"/>
      <c r="R31" s="194" t="n"/>
      <c r="S31" s="194" t="n"/>
      <c r="T31" s="194" t="n"/>
      <c r="U31" s="194" t="n"/>
      <c r="V31" s="194" t="n"/>
      <c r="W31" s="197" t="n"/>
      <c r="X31" s="197" t="n"/>
      <c r="Y31" s="197" t="n"/>
      <c r="Z31" s="197" t="n"/>
      <c r="AA31" s="194" t="n"/>
      <c r="AB31" s="194" t="n"/>
      <c r="AC31" s="194" t="n"/>
      <c r="AD31" s="194" t="n"/>
      <c r="AE31" s="194" t="n"/>
      <c r="AF31" s="194" t="n"/>
      <c r="AG31" s="194" t="n"/>
      <c r="AH31" s="194" t="n"/>
      <c r="AI31" s="194" t="n"/>
      <c r="AJ31" s="194" t="n"/>
      <c r="AK31" s="194" t="n"/>
      <c r="AL31" s="194" t="n"/>
      <c r="AM31" s="194" t="n"/>
      <c r="AN31" s="194" t="n"/>
      <c r="AO31" s="194" t="n"/>
      <c r="AP31" s="194" t="n"/>
      <c r="AQ31" s="194" t="n"/>
      <c r="AR31" s="194" t="n"/>
      <c r="AS31" s="194" t="n"/>
      <c r="AT31" s="194" t="n"/>
      <c r="AU31" s="194" t="n"/>
      <c r="AV31" s="194" t="n"/>
      <c r="AW31" s="194" t="n"/>
      <c r="AX31" s="194" t="n"/>
      <c r="AY31" s="194" t="n"/>
      <c r="AZ31" s="194" t="n"/>
      <c r="BA31" s="194" t="n"/>
      <c r="BB31" s="194" t="n"/>
      <c r="BC31" s="194" t="n"/>
      <c r="BD31" s="194" t="n"/>
      <c r="BE31" s="194" t="n"/>
      <c r="BF31" s="194" t="n"/>
      <c r="BG31" s="194" t="n"/>
      <c r="BH31" s="194" t="n"/>
      <c r="BI31" s="194" t="n"/>
      <c r="BJ31" s="194" t="n"/>
      <c r="BK31" s="194" t="n"/>
      <c r="BL31" s="194" t="n"/>
      <c r="BM31" s="194" t="n"/>
      <c r="BN31" s="194" t="n"/>
      <c r="BO31" s="194" t="n"/>
      <c r="BP31" s="194" t="n"/>
      <c r="BQ31" s="133" t="n"/>
    </row>
    <row r="32" outlineLevel="1" ht="17.25" customHeight="1" s="104">
      <c r="A32" s="162" t="n"/>
      <c r="B32" s="163" t="inlineStr">
        <is>
          <t>2.8</t>
        </is>
      </c>
      <c r="C32" s="164" t="inlineStr">
        <is>
          <t>BERTopic 모델 환경 구성(스트레스 키워드 추출)</t>
        </is>
      </c>
      <c r="D32" s="165" t="inlineStr">
        <is>
          <t>박송원</t>
        </is>
      </c>
      <c r="E32" s="166" t="n">
        <v>46200</v>
      </c>
      <c r="F32" s="166" t="n">
        <v>46202</v>
      </c>
      <c r="G32" s="165">
        <f>NETWORKDAYS(E32,F32)</f>
        <v/>
      </c>
      <c r="H32" s="167" t="n">
        <v>0</v>
      </c>
      <c r="I32" s="168" t="n"/>
      <c r="J32" s="169" t="n"/>
      <c r="K32" s="171" t="n"/>
      <c r="L32" s="171" t="n"/>
      <c r="M32" s="171" t="n"/>
      <c r="N32" s="171" t="n"/>
      <c r="O32" s="171" t="n"/>
      <c r="P32" s="171" t="n"/>
      <c r="Q32" s="171" t="n"/>
      <c r="R32" s="171" t="n"/>
      <c r="S32" s="171" t="n"/>
      <c r="T32" s="171" t="n"/>
      <c r="U32" s="171" t="n"/>
      <c r="V32" s="171" t="n"/>
      <c r="W32" s="171" t="n"/>
      <c r="X32" s="170" t="n"/>
      <c r="Y32" s="171" t="n"/>
      <c r="Z32" s="171" t="n"/>
      <c r="AA32" s="171" t="n"/>
      <c r="AB32" s="171" t="n"/>
      <c r="AC32" s="171" t="n"/>
      <c r="AD32" s="171" t="n"/>
      <c r="AE32" s="171" t="n"/>
      <c r="AF32" s="171" t="n"/>
      <c r="AG32" s="171" t="n"/>
      <c r="AH32" s="171" t="n"/>
      <c r="AI32" s="171" t="n"/>
      <c r="AJ32" s="171" t="n"/>
      <c r="AK32" s="171" t="n"/>
      <c r="AL32" s="171" t="n"/>
      <c r="AM32" s="171" t="n"/>
      <c r="AN32" s="171" t="n"/>
      <c r="AO32" s="171" t="n"/>
      <c r="AP32" s="171" t="n"/>
      <c r="AQ32" s="171" t="n"/>
      <c r="AR32" s="171" t="n"/>
      <c r="AS32" s="171" t="n"/>
      <c r="AT32" s="171" t="n"/>
      <c r="AU32" s="171" t="n"/>
      <c r="AV32" s="171" t="n"/>
      <c r="AW32" s="171" t="n"/>
      <c r="AX32" s="171" t="n"/>
      <c r="AY32" s="171" t="n"/>
      <c r="AZ32" s="171" t="n"/>
      <c r="BA32" s="171" t="n"/>
      <c r="BB32" s="171" t="n"/>
      <c r="BC32" s="171" t="n"/>
      <c r="BD32" s="171" t="n"/>
      <c r="BE32" s="171" t="n"/>
      <c r="BF32" s="171" t="n"/>
      <c r="BG32" s="171" t="n"/>
      <c r="BH32" s="171" t="n"/>
      <c r="BI32" s="171" t="n"/>
      <c r="BJ32" s="171" t="n"/>
      <c r="BK32" s="171" t="n"/>
      <c r="BL32" s="171" t="n"/>
      <c r="BM32" s="171" t="n"/>
      <c r="BN32" s="171" t="n"/>
      <c r="BO32" s="171" t="n"/>
      <c r="BP32" s="172" t="n"/>
      <c r="BQ32" s="162" t="n"/>
    </row>
    <row r="33" outlineLevel="1" ht="17.25" customHeight="1" s="104">
      <c r="A33" s="162" t="n"/>
      <c r="B33" s="163" t="inlineStr">
        <is>
          <t>2.9</t>
        </is>
      </c>
      <c r="C33" s="178" t="inlineStr">
        <is>
          <t>대화기록 기반 MBTI/취향 분석 결과 저장 기준 설계</t>
        </is>
      </c>
      <c r="D33" s="165" t="inlineStr">
        <is>
          <t>한재웅</t>
        </is>
      </c>
      <c r="E33" s="166" t="n">
        <v>46202</v>
      </c>
      <c r="F33" s="166" t="n">
        <v>46213</v>
      </c>
      <c r="G33" s="165">
        <f>NETWORKDAYS(E33,F33)</f>
        <v/>
      </c>
      <c r="H33" s="167" t="n">
        <v>0</v>
      </c>
      <c r="I33" s="173" t="n"/>
      <c r="J33" s="174" t="n"/>
      <c r="K33" s="176" t="n"/>
      <c r="L33" s="176" t="n"/>
      <c r="M33" s="176" t="n"/>
      <c r="N33" s="171" t="n"/>
      <c r="O33" s="171" t="n"/>
      <c r="P33" s="171" t="n"/>
      <c r="Q33" s="171" t="n"/>
      <c r="R33" s="171" t="n"/>
      <c r="S33" s="176" t="n"/>
      <c r="T33" s="176" t="n"/>
      <c r="U33" s="176" t="n"/>
      <c r="V33" s="176" t="n"/>
      <c r="W33" s="176" t="n"/>
      <c r="X33" s="175" t="n"/>
      <c r="Y33" s="175" t="n"/>
      <c r="Z33" s="175" t="n"/>
      <c r="AA33" s="175" t="n"/>
      <c r="AB33" s="175" t="n"/>
      <c r="AC33" s="175" t="n"/>
      <c r="AD33" s="175" t="n"/>
      <c r="AE33" s="175" t="n"/>
      <c r="AF33" s="175" t="n"/>
      <c r="AG33" s="175" t="n"/>
      <c r="AH33" s="176" t="n"/>
      <c r="AI33" s="176" t="n"/>
      <c r="AJ33" s="176" t="n"/>
      <c r="AK33" s="176" t="n"/>
      <c r="AL33" s="176" t="n"/>
      <c r="AM33" s="176" t="n"/>
      <c r="AN33" s="176" t="n"/>
      <c r="AO33" s="176" t="n"/>
      <c r="AP33" s="176" t="n"/>
      <c r="AQ33" s="176" t="n"/>
      <c r="AR33" s="176" t="n"/>
      <c r="AS33" s="176" t="n"/>
      <c r="AT33" s="176" t="n"/>
      <c r="AU33" s="176" t="n"/>
      <c r="AV33" s="176" t="n"/>
      <c r="AW33" s="176" t="n"/>
      <c r="AX33" s="176" t="n"/>
      <c r="AY33" s="176" t="n"/>
      <c r="AZ33" s="176" t="n"/>
      <c r="BA33" s="176" t="n"/>
      <c r="BB33" s="176" t="n"/>
      <c r="BC33" s="176" t="n"/>
      <c r="BD33" s="176" t="n"/>
      <c r="BE33" s="176" t="n"/>
      <c r="BF33" s="176" t="n"/>
      <c r="BG33" s="176" t="n"/>
      <c r="BH33" s="176" t="n"/>
      <c r="BI33" s="176" t="n"/>
      <c r="BJ33" s="176" t="n"/>
      <c r="BK33" s="176" t="n"/>
      <c r="BL33" s="176" t="n"/>
      <c r="BM33" s="176" t="n"/>
      <c r="BN33" s="176" t="n"/>
      <c r="BO33" s="176" t="n"/>
      <c r="BP33" s="177" t="n"/>
      <c r="BQ33" s="162" t="n"/>
    </row>
    <row r="34" outlineLevel="1" ht="17.25" customHeight="1" s="104">
      <c r="A34" s="162" t="n"/>
      <c r="B34" s="163" t="inlineStr">
        <is>
          <t>2.10</t>
        </is>
      </c>
      <c r="C34" s="164" t="inlineStr">
        <is>
          <t>LLM 분석 파이프라인·권한·안전/오류 모니터링 아키텍처 설계</t>
        </is>
      </c>
      <c r="D34" s="165" t="inlineStr">
        <is>
          <t>한재웅</t>
        </is>
      </c>
      <c r="E34" s="166" t="n">
        <v>46202</v>
      </c>
      <c r="F34" s="166" t="n">
        <v>46213</v>
      </c>
      <c r="G34" s="165">
        <f>NETWORKDAYS(E34,F34)</f>
        <v/>
      </c>
      <c r="H34" s="167" t="n">
        <v>0</v>
      </c>
      <c r="I34" s="173" t="n"/>
      <c r="J34" s="174" t="n"/>
      <c r="K34" s="176" t="n"/>
      <c r="L34" s="176" t="n"/>
      <c r="M34" s="176" t="n"/>
      <c r="N34" s="171" t="n"/>
      <c r="O34" s="171" t="n"/>
      <c r="P34" s="171" t="n"/>
      <c r="Q34" s="171" t="n"/>
      <c r="R34" s="171" t="n"/>
      <c r="S34" s="171" t="n"/>
      <c r="T34" s="171" t="n"/>
      <c r="U34" s="171" t="n"/>
      <c r="V34" s="171" t="n"/>
      <c r="W34" s="176" t="n"/>
      <c r="X34" s="175" t="n"/>
      <c r="Y34" s="175" t="n"/>
      <c r="Z34" s="175" t="n"/>
      <c r="AA34" s="175" t="n"/>
      <c r="AB34" s="175" t="n"/>
      <c r="AC34" s="175" t="n"/>
      <c r="AD34" s="175" t="n"/>
      <c r="AE34" s="175" t="n"/>
      <c r="AF34" s="175" t="n"/>
      <c r="AG34" s="175" t="n"/>
      <c r="AH34" s="176" t="n"/>
      <c r="AI34" s="176" t="n"/>
      <c r="AJ34" s="176" t="n"/>
      <c r="AK34" s="176" t="n"/>
      <c r="AL34" s="176" t="n"/>
      <c r="AM34" s="176" t="n"/>
      <c r="AN34" s="176" t="n"/>
      <c r="AO34" s="176" t="n"/>
      <c r="AP34" s="176" t="n"/>
      <c r="AQ34" s="176" t="n"/>
      <c r="AR34" s="176" t="n"/>
      <c r="AS34" s="176" t="n"/>
      <c r="AT34" s="176" t="n"/>
      <c r="AU34" s="176" t="n"/>
      <c r="AV34" s="176" t="n"/>
      <c r="AW34" s="176" t="n"/>
      <c r="AX34" s="176" t="n"/>
      <c r="AY34" s="176" t="n"/>
      <c r="AZ34" s="176" t="n"/>
      <c r="BA34" s="176" t="n"/>
      <c r="BB34" s="176" t="n"/>
      <c r="BC34" s="176" t="n"/>
      <c r="BD34" s="176" t="n"/>
      <c r="BE34" s="176" t="n"/>
      <c r="BF34" s="176" t="n"/>
      <c r="BG34" s="176" t="n"/>
      <c r="BH34" s="176" t="n"/>
      <c r="BI34" s="176" t="n"/>
      <c r="BJ34" s="176" t="n"/>
      <c r="BK34" s="176" t="n"/>
      <c r="BL34" s="176" t="n"/>
      <c r="BM34" s="176" t="n"/>
      <c r="BN34" s="176" t="n"/>
      <c r="BO34" s="176" t="n"/>
      <c r="BP34" s="177" t="n"/>
      <c r="BQ34" s="162" t="n"/>
    </row>
    <row r="35" outlineLevel="1" ht="17.25" customHeight="1" s="104">
      <c r="A35" s="162" t="n"/>
      <c r="B35" s="163" t="inlineStr">
        <is>
          <t>2.11</t>
        </is>
      </c>
      <c r="C35" s="178" t="inlineStr">
        <is>
          <t>감정 이상치(Outlier) 탐지 알고리즘 초안(Z-score)</t>
        </is>
      </c>
      <c r="D35" s="165" t="inlineStr">
        <is>
          <t>박송원</t>
        </is>
      </c>
      <c r="E35" s="166" t="n">
        <v>46202</v>
      </c>
      <c r="F35" s="166" t="n">
        <v>46203</v>
      </c>
      <c r="G35" s="165">
        <f>NETWORKDAYS(E35,F35)</f>
        <v/>
      </c>
      <c r="H35" s="167" t="n">
        <v>0</v>
      </c>
      <c r="I35" s="173" t="n"/>
      <c r="J35" s="174" t="n"/>
      <c r="K35" s="176" t="n"/>
      <c r="L35" s="176" t="n"/>
      <c r="M35" s="176" t="n"/>
      <c r="N35" s="171" t="n"/>
      <c r="O35" s="171" t="n"/>
      <c r="P35" s="171" t="n"/>
      <c r="Q35" s="171" t="n"/>
      <c r="R35" s="171" t="n"/>
      <c r="S35" s="171" t="n"/>
      <c r="T35" s="171" t="n"/>
      <c r="U35" s="171" t="n"/>
      <c r="V35" s="171" t="n"/>
      <c r="W35" s="176" t="n"/>
      <c r="X35" s="175" t="n"/>
      <c r="Y35" s="175" t="n"/>
      <c r="Z35" s="176" t="n"/>
      <c r="AA35" s="176" t="n"/>
      <c r="AB35" s="176" t="n"/>
      <c r="AC35" s="176" t="n"/>
      <c r="AD35" s="176" t="n"/>
      <c r="AE35" s="176" t="n"/>
      <c r="AF35" s="176" t="n"/>
      <c r="AG35" s="176" t="n"/>
      <c r="AH35" s="176" t="n"/>
      <c r="AI35" s="176" t="n"/>
      <c r="AJ35" s="176" t="n"/>
      <c r="AK35" s="176" t="n"/>
      <c r="AL35" s="176" t="n"/>
      <c r="AM35" s="176" t="n"/>
      <c r="AN35" s="176" t="n"/>
      <c r="AO35" s="176" t="n"/>
      <c r="AP35" s="176" t="n"/>
      <c r="AQ35" s="176" t="n"/>
      <c r="AR35" s="176" t="n"/>
      <c r="AS35" s="176" t="n"/>
      <c r="AT35" s="176" t="n"/>
      <c r="AU35" s="176" t="n"/>
      <c r="AV35" s="176" t="n"/>
      <c r="AW35" s="176" t="n"/>
      <c r="AX35" s="176" t="n"/>
      <c r="AY35" s="176" t="n"/>
      <c r="AZ35" s="176" t="n"/>
      <c r="BA35" s="176" t="n"/>
      <c r="BB35" s="176" t="n"/>
      <c r="BC35" s="176" t="n"/>
      <c r="BD35" s="176" t="n"/>
      <c r="BE35" s="176" t="n"/>
      <c r="BF35" s="176" t="n"/>
      <c r="BG35" s="176" t="n"/>
      <c r="BH35" s="176" t="n"/>
      <c r="BI35" s="176" t="n"/>
      <c r="BJ35" s="176" t="n"/>
      <c r="BK35" s="176" t="n"/>
      <c r="BL35" s="176" t="n"/>
      <c r="BM35" s="176" t="n"/>
      <c r="BN35" s="176" t="n"/>
      <c r="BO35" s="176" t="n"/>
      <c r="BP35" s="177" t="n"/>
      <c r="BQ35" s="162" t="n"/>
    </row>
    <row r="36" ht="21" customHeight="1" s="104">
      <c r="A36" s="133" t="n"/>
      <c r="B36" s="179" t="inlineStr">
        <is>
          <t>2.12</t>
        </is>
      </c>
      <c r="C36" s="180" t="inlineStr">
        <is>
          <t>[온보딩] 심리 테스트 게임/결과 그래프 화면 설계</t>
        </is>
      </c>
      <c r="D36" s="201" t="inlineStr">
        <is>
          <t>이성진</t>
        </is>
      </c>
      <c r="E36" s="181" t="n">
        <v>46202</v>
      </c>
      <c r="F36" s="181" t="n">
        <v>46206</v>
      </c>
      <c r="G36" s="182">
        <f>NETWORKDAYS(E36,F36)</f>
        <v/>
      </c>
      <c r="H36" s="183" t="n">
        <v>0</v>
      </c>
      <c r="I36" s="133" t="n"/>
      <c r="J36" s="133" t="n"/>
      <c r="K36" s="133" t="n"/>
      <c r="L36" s="133" t="n"/>
      <c r="M36" s="133" t="n"/>
      <c r="N36" s="133" t="n"/>
      <c r="O36" s="133" t="n"/>
      <c r="P36" s="133" t="n"/>
      <c r="Q36" s="133" t="n"/>
      <c r="R36" s="133" t="n"/>
      <c r="S36" s="133" t="n"/>
      <c r="T36" s="133" t="n"/>
      <c r="U36" s="133" t="n"/>
      <c r="V36" s="133" t="n"/>
      <c r="W36" s="133" t="n"/>
      <c r="X36" s="202" t="n"/>
      <c r="Y36" s="202" t="n"/>
      <c r="Z36" s="202" t="n"/>
      <c r="AA36" s="202" t="n"/>
      <c r="AB36" s="202" t="n"/>
      <c r="AC36" s="133" t="n"/>
      <c r="AD36" s="133" t="n"/>
      <c r="AE36" s="133" t="n"/>
      <c r="AF36" s="133" t="n"/>
      <c r="AG36" s="133" t="n"/>
      <c r="AH36" s="133" t="n"/>
      <c r="AI36" s="133" t="n"/>
      <c r="AJ36" s="133" t="n"/>
      <c r="AK36" s="133" t="n"/>
      <c r="AL36" s="133" t="n"/>
      <c r="AM36" s="133" t="n"/>
      <c r="AN36" s="133" t="n"/>
      <c r="AO36" s="133" t="n"/>
      <c r="AP36" s="133" t="n"/>
      <c r="AQ36" s="133" t="n"/>
      <c r="AR36" s="133" t="n"/>
      <c r="AS36" s="133" t="n"/>
      <c r="AT36" s="133" t="n"/>
      <c r="AU36" s="133" t="n"/>
      <c r="AV36" s="133" t="n"/>
      <c r="AW36" s="133" t="n"/>
      <c r="AX36" s="133" t="n"/>
      <c r="AY36" s="133" t="n"/>
      <c r="AZ36" s="133" t="n"/>
      <c r="BA36" s="133" t="n"/>
      <c r="BB36" s="133" t="n"/>
      <c r="BC36" s="133" t="n"/>
      <c r="BD36" s="133" t="n"/>
      <c r="BE36" s="133" t="n"/>
      <c r="BF36" s="133" t="n"/>
      <c r="BG36" s="133" t="n"/>
      <c r="BH36" s="133" t="n"/>
      <c r="BI36" s="133" t="n"/>
      <c r="BJ36" s="133" t="n"/>
      <c r="BK36" s="133" t="n"/>
      <c r="BL36" s="133" t="n"/>
      <c r="BM36" s="133" t="n"/>
      <c r="BN36" s="133" t="n"/>
      <c r="BO36" s="133" t="n"/>
      <c r="BP36" s="133" t="n"/>
      <c r="BQ36" s="133" t="n"/>
    </row>
    <row r="37" ht="21" customHeight="1" s="104">
      <c r="A37" s="133" t="n"/>
      <c r="B37" s="179" t="inlineStr">
        <is>
          <t>2.13</t>
        </is>
      </c>
      <c r="C37" s="180" t="inlineStr">
        <is>
          <t>[온보딩] 캘린더·카드 운세 화면 설계</t>
        </is>
      </c>
      <c r="D37" s="201" t="inlineStr">
        <is>
          <t>이성진</t>
        </is>
      </c>
      <c r="E37" s="181" t="n">
        <v>46205</v>
      </c>
      <c r="F37" s="181" t="n">
        <v>46210</v>
      </c>
      <c r="G37" s="182">
        <f>NETWORKDAYS(E37,F37)</f>
        <v/>
      </c>
      <c r="H37" s="183" t="n">
        <v>0</v>
      </c>
      <c r="I37" s="133" t="n"/>
      <c r="J37" s="133" t="n"/>
      <c r="K37" s="133" t="n"/>
      <c r="L37" s="133" t="n"/>
      <c r="M37" s="133" t="n"/>
      <c r="N37" s="133" t="n"/>
      <c r="O37" s="133" t="n"/>
      <c r="P37" s="133" t="n"/>
      <c r="Q37" s="133" t="n"/>
      <c r="R37" s="133" t="n"/>
      <c r="S37" s="133" t="n"/>
      <c r="T37" s="133" t="n"/>
      <c r="U37" s="133" t="n"/>
      <c r="V37" s="133" t="n"/>
      <c r="W37" s="133" t="n"/>
      <c r="X37" s="133" t="n"/>
      <c r="Y37" s="133" t="n"/>
      <c r="Z37" s="133" t="n"/>
      <c r="AA37" s="202" t="n"/>
      <c r="AB37" s="202" t="n"/>
      <c r="AC37" s="202" t="n"/>
      <c r="AD37" s="202" t="n"/>
      <c r="AE37" s="133" t="n"/>
      <c r="AF37" s="133" t="n"/>
      <c r="AG37" s="133" t="n"/>
      <c r="AH37" s="133" t="n"/>
      <c r="AI37" s="133" t="n"/>
      <c r="AJ37" s="133" t="n"/>
      <c r="AK37" s="133" t="n"/>
      <c r="AL37" s="133" t="n"/>
      <c r="AM37" s="133" t="n"/>
      <c r="AN37" s="133" t="n"/>
      <c r="AO37" s="133" t="n"/>
      <c r="AP37" s="133" t="n"/>
      <c r="AQ37" s="133" t="n"/>
      <c r="AR37" s="133" t="n"/>
      <c r="AS37" s="133" t="n"/>
      <c r="AT37" s="133" t="n"/>
      <c r="AU37" s="133" t="n"/>
      <c r="AV37" s="133" t="n"/>
      <c r="AW37" s="133" t="n"/>
      <c r="AX37" s="133" t="n"/>
      <c r="AY37" s="133" t="n"/>
      <c r="AZ37" s="133" t="n"/>
      <c r="BA37" s="133" t="n"/>
      <c r="BB37" s="133" t="n"/>
      <c r="BC37" s="133" t="n"/>
      <c r="BD37" s="133" t="n"/>
      <c r="BE37" s="133" t="n"/>
      <c r="BF37" s="133" t="n"/>
      <c r="BG37" s="133" t="n"/>
      <c r="BH37" s="133" t="n"/>
      <c r="BI37" s="133" t="n"/>
      <c r="BJ37" s="133" t="n"/>
      <c r="BK37" s="133" t="n"/>
      <c r="BL37" s="133" t="n"/>
      <c r="BM37" s="133" t="n"/>
      <c r="BN37" s="133" t="n"/>
      <c r="BO37" s="133" t="n"/>
      <c r="BP37" s="133" t="n"/>
      <c r="BQ37" s="133" t="n"/>
    </row>
    <row r="38" ht="21" customHeight="1" s="104">
      <c r="A38" s="133" t="n"/>
      <c r="B38" s="203" t="inlineStr">
        <is>
          <t>3</t>
        </is>
      </c>
      <c r="C38" s="204" t="inlineStr">
        <is>
          <t>프로젝트 실행</t>
        </is>
      </c>
      <c r="D38" s="205" t="n"/>
      <c r="E38" s="205" t="n"/>
      <c r="F38" s="205" t="n"/>
      <c r="G38" s="206" t="n"/>
      <c r="H38" s="206" t="n"/>
      <c r="I38" s="205" t="n"/>
      <c r="J38" s="205" t="n"/>
      <c r="K38" s="205" t="n"/>
      <c r="L38" s="205" t="n"/>
      <c r="M38" s="205" t="n"/>
      <c r="N38" s="205" t="n"/>
      <c r="O38" s="205" t="n"/>
      <c r="P38" s="205" t="n"/>
      <c r="Q38" s="205" t="n"/>
      <c r="R38" s="205" t="n"/>
      <c r="S38" s="205" t="n"/>
      <c r="T38" s="205" t="n"/>
      <c r="U38" s="205" t="n"/>
      <c r="V38" s="205" t="n"/>
      <c r="W38" s="205" t="n"/>
      <c r="X38" s="205" t="n"/>
      <c r="Y38" s="205" t="n"/>
      <c r="Z38" s="205" t="n"/>
      <c r="AA38" s="205" t="n"/>
      <c r="AB38" s="205" t="n"/>
      <c r="AC38" s="205" t="n"/>
      <c r="AD38" s="205" t="n"/>
      <c r="AE38" s="205" t="n"/>
      <c r="AF38" s="205" t="n"/>
      <c r="AG38" s="205" t="n"/>
      <c r="AH38" s="205" t="n"/>
      <c r="AI38" s="205" t="n"/>
      <c r="AJ38" s="205" t="n"/>
      <c r="AK38" s="205" t="n"/>
      <c r="AL38" s="205" t="n"/>
      <c r="AM38" s="205" t="n"/>
      <c r="AN38" s="205" t="n"/>
      <c r="AO38" s="205" t="n"/>
      <c r="AP38" s="205" t="n"/>
      <c r="AQ38" s="205" t="n"/>
      <c r="AR38" s="205" t="n"/>
      <c r="AS38" s="205" t="n"/>
      <c r="AT38" s="205" t="n"/>
      <c r="AU38" s="205" t="n"/>
      <c r="AV38" s="205" t="n"/>
      <c r="AW38" s="205" t="n"/>
      <c r="AX38" s="205" t="n"/>
      <c r="AY38" s="205" t="n"/>
      <c r="AZ38" s="205" t="n"/>
      <c r="BA38" s="205" t="n"/>
      <c r="BB38" s="205" t="n"/>
      <c r="BC38" s="205" t="n"/>
      <c r="BD38" s="205" t="n"/>
      <c r="BE38" s="205" t="n"/>
      <c r="BF38" s="205" t="n"/>
      <c r="BG38" s="205" t="n"/>
      <c r="BH38" s="205" t="n"/>
      <c r="BI38" s="205" t="n"/>
      <c r="BJ38" s="205" t="n"/>
      <c r="BK38" s="205" t="n"/>
      <c r="BL38" s="205" t="n"/>
      <c r="BM38" s="205" t="n"/>
      <c r="BN38" s="205" t="n"/>
      <c r="BO38" s="205" t="n"/>
      <c r="BP38" s="205" t="n"/>
      <c r="BQ38" s="133" t="n"/>
    </row>
    <row r="39" ht="29.25" customHeight="1" s="104">
      <c r="B39" s="179" t="inlineStr">
        <is>
          <t>3.1</t>
        </is>
      </c>
      <c r="C39" s="207" t="inlineStr">
        <is>
          <t>마이페이지 메인 구현(정적 방 일러스트·반응형)</t>
        </is>
      </c>
      <c r="D39" s="201" t="inlineStr">
        <is>
          <t>한재웅</t>
        </is>
      </c>
      <c r="E39" s="181" t="n">
        <v>46197</v>
      </c>
      <c r="F39" s="181" t="n">
        <v>46206</v>
      </c>
      <c r="G39" s="182">
        <f>NETWORKDAYS(E39,F39)</f>
        <v/>
      </c>
      <c r="H39" s="183" t="n">
        <v>0</v>
      </c>
      <c r="U39" s="208" t="n"/>
      <c r="V39" s="208" t="n"/>
      <c r="W39" s="208" t="n"/>
      <c r="X39" s="208" t="n"/>
      <c r="Y39" s="208" t="n"/>
      <c r="Z39" s="208" t="n"/>
      <c r="AA39" s="208" t="n"/>
      <c r="AB39" s="208" t="n"/>
    </row>
    <row r="40" ht="29.25" customHeight="1" s="104">
      <c r="B40" s="179" t="inlineStr">
        <is>
          <t>3.2</t>
        </is>
      </c>
      <c r="C40" s="207" t="inlineStr">
        <is>
          <t>프로필 조회 및 리포트 보관함 진입 동선</t>
        </is>
      </c>
      <c r="D40" s="201" t="inlineStr">
        <is>
          <t>한재웅</t>
        </is>
      </c>
      <c r="E40" s="181" t="n">
        <v>46197</v>
      </c>
      <c r="F40" s="181" t="n">
        <v>46206</v>
      </c>
      <c r="G40" s="182">
        <f>NETWORKDAYS(E40,F40)</f>
        <v/>
      </c>
      <c r="H40" s="183" t="n">
        <v>0</v>
      </c>
      <c r="U40" s="208" t="n"/>
      <c r="V40" s="208" t="n"/>
      <c r="W40" s="208" t="n"/>
      <c r="X40" s="208" t="n"/>
      <c r="Y40" s="208" t="n"/>
      <c r="Z40" s="208" t="n"/>
      <c r="AA40" s="208" t="n"/>
      <c r="AB40" s="208" t="n"/>
    </row>
    <row r="41" ht="29.25" customHeight="1" s="104">
      <c r="B41" s="179" t="inlineStr">
        <is>
          <t>3.3</t>
        </is>
      </c>
      <c r="C41" s="207" t="inlineStr">
        <is>
          <t>자유게시판 구현(목록·작성·상세·댓글·신고)</t>
        </is>
      </c>
      <c r="D41" s="201" t="inlineStr">
        <is>
          <t>한재웅</t>
        </is>
      </c>
      <c r="E41" s="181" t="n">
        <v>46197</v>
      </c>
      <c r="F41" s="181" t="n">
        <v>46213</v>
      </c>
      <c r="G41" s="182">
        <f>NETWORKDAYS(E41,F41)</f>
        <v/>
      </c>
      <c r="H41" s="183" t="n">
        <v>0</v>
      </c>
      <c r="U41" s="208" t="n"/>
      <c r="V41" s="208" t="n"/>
      <c r="W41" s="208" t="n"/>
      <c r="X41" s="208" t="n"/>
      <c r="Y41" s="208" t="n"/>
      <c r="Z41" s="208" t="n"/>
      <c r="AA41" s="208" t="n"/>
      <c r="AB41" s="208" t="n"/>
      <c r="AC41" s="208" t="n"/>
      <c r="AD41" s="208" t="n"/>
      <c r="AE41" s="208" t="n"/>
      <c r="AF41" s="208" t="n"/>
      <c r="AG41" s="208" t="n"/>
    </row>
    <row r="42" ht="29.25" customHeight="1" s="104">
      <c r="B42" s="179" t="inlineStr">
        <is>
          <t>3.4</t>
        </is>
      </c>
      <c r="C42" s="207" t="inlineStr">
        <is>
          <t>설정 구현(계정·언어/테마·접근성·세션)</t>
        </is>
      </c>
      <c r="D42" s="201" t="inlineStr">
        <is>
          <t>한재웅</t>
        </is>
      </c>
      <c r="E42" s="181" t="n">
        <v>46197</v>
      </c>
      <c r="F42" s="181" t="n">
        <v>46213</v>
      </c>
      <c r="G42" s="182">
        <f>NETWORKDAYS(E42,F42)</f>
        <v/>
      </c>
      <c r="H42" s="183" t="n">
        <v>0</v>
      </c>
      <c r="U42" s="208" t="n"/>
      <c r="V42" s="208" t="n"/>
      <c r="W42" s="208" t="n"/>
      <c r="X42" s="208" t="n"/>
      <c r="Y42" s="208" t="n"/>
      <c r="Z42" s="208" t="n"/>
      <c r="AA42" s="208" t="n"/>
      <c r="AB42" s="208" t="n"/>
      <c r="AC42" s="208" t="n"/>
      <c r="AD42" s="208" t="n"/>
      <c r="AE42" s="208" t="n"/>
      <c r="AF42" s="208" t="n"/>
      <c r="AG42" s="208" t="n"/>
    </row>
    <row r="43" ht="29.25" customHeight="1" s="104">
      <c r="B43" s="179" t="inlineStr">
        <is>
          <t>3.5</t>
        </is>
      </c>
      <c r="C43" s="207" t="inlineStr">
        <is>
          <t>리포트/안전 정책 내부 로직 구현(최소조건·1393)</t>
        </is>
      </c>
      <c r="D43" s="201" t="inlineStr">
        <is>
          <t>박송원</t>
        </is>
      </c>
      <c r="E43" s="181" t="n">
        <v>46197</v>
      </c>
      <c r="F43" s="181" t="n">
        <v>46198</v>
      </c>
      <c r="G43" s="182">
        <f>NETWORKDAYS(E43,F43)</f>
        <v/>
      </c>
      <c r="H43" s="183" t="n">
        <v>0</v>
      </c>
      <c r="U43" s="208" t="n"/>
      <c r="V43" s="208" t="n"/>
    </row>
    <row r="44" ht="15.75" customHeight="1" s="104">
      <c r="B44" s="179" t="inlineStr">
        <is>
          <t>3.6</t>
        </is>
      </c>
      <c r="C44" s="207" t="inlineStr">
        <is>
          <t>감정 점수 산출 모듈 세팅(LLM API)</t>
        </is>
      </c>
      <c r="D44" s="201" t="inlineStr">
        <is>
          <t>박송원</t>
        </is>
      </c>
      <c r="E44" s="181" t="n">
        <v>46198</v>
      </c>
      <c r="F44" s="181" t="n">
        <v>46200</v>
      </c>
      <c r="G44" s="182">
        <f>NETWORKDAYS(E44,F44)</f>
        <v/>
      </c>
      <c r="H44" s="183" t="n">
        <v>0</v>
      </c>
      <c r="V44" s="208" t="n"/>
      <c r="W44" s="208" t="n"/>
    </row>
    <row r="45" ht="29.25" customHeight="1" s="104">
      <c r="B45" s="179" t="inlineStr">
        <is>
          <t>3.7</t>
        </is>
      </c>
      <c r="C45" s="207" t="inlineStr">
        <is>
          <t>개인 분석 구현(MBTI 성향·취향 그래프)</t>
        </is>
      </c>
      <c r="D45" s="201" t="inlineStr">
        <is>
          <t>한재웅</t>
        </is>
      </c>
      <c r="E45" s="181" t="n">
        <v>46202</v>
      </c>
      <c r="F45" s="181" t="n">
        <v>46213</v>
      </c>
      <c r="G45" s="182">
        <f>NETWORKDAYS(E45,F45)</f>
        <v/>
      </c>
      <c r="H45" s="183" t="n">
        <v>0</v>
      </c>
      <c r="X45" s="208" t="n"/>
      <c r="Y45" s="208" t="n"/>
      <c r="Z45" s="208" t="n"/>
      <c r="AA45" s="208" t="n"/>
      <c r="AB45" s="208" t="n"/>
      <c r="AC45" s="208" t="n"/>
      <c r="AD45" s="208" t="n"/>
      <c r="AE45" s="208" t="n"/>
      <c r="AF45" s="208" t="n"/>
      <c r="AG45" s="208" t="n"/>
    </row>
    <row r="46" ht="29.25" customHeight="1" s="104">
      <c r="B46" s="179" t="inlineStr">
        <is>
          <t>3.8</t>
        </is>
      </c>
      <c r="C46" s="180" t="inlineStr">
        <is>
          <t>KcELECTRA 감정 분류 모델 학습 및 튜닝</t>
        </is>
      </c>
      <c r="D46" s="201" t="inlineStr">
        <is>
          <t>김한솔</t>
        </is>
      </c>
      <c r="E46" s="181" t="n">
        <v>46203</v>
      </c>
      <c r="F46" s="181" t="n">
        <v>46209</v>
      </c>
      <c r="G46" s="182">
        <f>NETWORKDAYS(E46,F46)</f>
        <v/>
      </c>
      <c r="H46" s="183" t="n">
        <v>0</v>
      </c>
      <c r="Y46" s="208" t="n"/>
      <c r="Z46" s="208" t="n"/>
      <c r="AA46" s="208" t="n"/>
      <c r="AB46" s="208" t="n"/>
      <c r="AC46" s="208" t="n"/>
    </row>
    <row r="47" ht="15.75" customHeight="1" s="104">
      <c r="B47" s="179" t="inlineStr">
        <is>
          <t>3.9</t>
        </is>
      </c>
      <c r="C47" s="207" t="inlineStr">
        <is>
          <t>사용자간 1:1 웹 채팅 구현</t>
        </is>
      </c>
      <c r="D47" s="201" t="inlineStr">
        <is>
          <t>한재웅</t>
        </is>
      </c>
      <c r="E47" s="181" t="n">
        <v>46204</v>
      </c>
      <c r="F47" s="181" t="n">
        <v>46213</v>
      </c>
      <c r="G47" s="182">
        <f>NETWORKDAYS(E47,F47)</f>
        <v/>
      </c>
      <c r="H47" s="183" t="n">
        <v>0</v>
      </c>
      <c r="Z47" s="208" t="n"/>
      <c r="AA47" s="208" t="n"/>
      <c r="AB47" s="208" t="n"/>
      <c r="AC47" s="208" t="n"/>
      <c r="AD47" s="208" t="n"/>
      <c r="AE47" s="208" t="n"/>
      <c r="AF47" s="208" t="n"/>
      <c r="AG47" s="208" t="n"/>
    </row>
    <row r="48" ht="15.75" customHeight="1" s="104">
      <c r="B48" s="179" t="inlineStr">
        <is>
          <t>3.10</t>
        </is>
      </c>
      <c r="C48" s="207" t="inlineStr">
        <is>
          <t>마음 리포트 캘린더 조회 API</t>
        </is>
      </c>
      <c r="D48" s="201" t="inlineStr">
        <is>
          <t>박송원</t>
        </is>
      </c>
      <c r="E48" s="181" t="n">
        <v>46204</v>
      </c>
      <c r="F48" s="181" t="n">
        <v>46206</v>
      </c>
      <c r="G48" s="182">
        <f>NETWORKDAYS(E48,F48)</f>
        <v/>
      </c>
      <c r="H48" s="183" t="n">
        <v>0</v>
      </c>
      <c r="Z48" s="208" t="n"/>
      <c r="AA48" s="208" t="n"/>
      <c r="AB48" s="208" t="n"/>
    </row>
    <row r="49" ht="29.25" customHeight="1" s="104">
      <c r="B49" s="179" t="inlineStr">
        <is>
          <t>3.11</t>
        </is>
      </c>
      <c r="C49" s="207" t="inlineStr">
        <is>
          <t>심리이론 RAG 벡터 DB 파이프라인 구축</t>
        </is>
      </c>
      <c r="D49" s="201" t="inlineStr">
        <is>
          <t>김한솔</t>
        </is>
      </c>
      <c r="E49" s="181" t="n">
        <v>46205</v>
      </c>
      <c r="F49" s="181" t="n">
        <v>46211</v>
      </c>
      <c r="G49" s="182">
        <f>NETWORKDAYS(E49,F49)</f>
        <v/>
      </c>
      <c r="H49" s="183" t="n">
        <v>0</v>
      </c>
      <c r="AA49" s="208" t="n"/>
      <c r="AB49" s="208" t="n"/>
      <c r="AC49" s="208" t="n"/>
      <c r="AD49" s="208" t="n"/>
      <c r="AE49" s="208" t="n"/>
    </row>
    <row r="50" ht="15.75" customHeight="1" s="104">
      <c r="B50" s="179" t="inlineStr">
        <is>
          <t>3.12</t>
        </is>
      </c>
      <c r="C50" s="207" t="inlineStr">
        <is>
          <t>이상치 리포트 상세 조회 API</t>
        </is>
      </c>
      <c r="D50" s="201" t="inlineStr">
        <is>
          <t>박송원</t>
        </is>
      </c>
      <c r="E50" s="181" t="n">
        <v>46206</v>
      </c>
      <c r="F50" s="181" t="n">
        <v>46209</v>
      </c>
      <c r="G50" s="182">
        <f>NETWORKDAYS(E50,F50)</f>
        <v/>
      </c>
      <c r="H50" s="183" t="n">
        <v>0</v>
      </c>
      <c r="AB50" s="208" t="n"/>
      <c r="AC50" s="208" t="n"/>
    </row>
    <row r="51" ht="29.25" customHeight="1" s="104">
      <c r="B51" s="179" t="inlineStr">
        <is>
          <t>3.13</t>
        </is>
      </c>
      <c r="C51" s="207" t="inlineStr">
        <is>
          <t>차단 사용자 관리 및 계정 탈퇴·데이터 삭제 흐름</t>
        </is>
      </c>
      <c r="D51" s="201" t="inlineStr">
        <is>
          <t>한재웅</t>
        </is>
      </c>
      <c r="E51" s="181" t="n">
        <v>46209</v>
      </c>
      <c r="F51" s="181" t="n">
        <v>46213</v>
      </c>
      <c r="G51" s="182">
        <f>NETWORKDAYS(E51,F51)</f>
        <v/>
      </c>
      <c r="H51" s="183" t="n">
        <v>0</v>
      </c>
      <c r="AC51" s="208" t="n"/>
      <c r="AD51" s="208" t="n"/>
      <c r="AE51" s="208" t="n"/>
      <c r="AF51" s="208" t="n"/>
      <c r="AG51" s="208" t="n"/>
    </row>
    <row r="52" ht="29.25" customHeight="1" s="104">
      <c r="B52" s="179" t="inlineStr">
        <is>
          <t>3.14</t>
        </is>
      </c>
      <c r="C52" s="207" t="inlineStr">
        <is>
          <t>대화 발췌(근거 데이터) 프롬프트 튜닝</t>
        </is>
      </c>
      <c r="D52" s="201" t="inlineStr">
        <is>
          <t>박송원</t>
        </is>
      </c>
      <c r="E52" s="181" t="n">
        <v>46209</v>
      </c>
      <c r="F52" s="181" t="n">
        <v>46210</v>
      </c>
      <c r="G52" s="182">
        <f>NETWORKDAYS(E52,F52)</f>
        <v/>
      </c>
      <c r="H52" s="183" t="n">
        <v>0</v>
      </c>
      <c r="AC52" s="208" t="n"/>
      <c r="AD52" s="208" t="n"/>
    </row>
    <row r="53" ht="29.25" customHeight="1" s="104">
      <c r="B53" s="179" t="inlineStr">
        <is>
          <t>3.15</t>
        </is>
      </c>
      <c r="C53" s="207" t="inlineStr">
        <is>
          <t>차(Tea) 추천 Neo4j 데이터 적재 파이프라인</t>
        </is>
      </c>
      <c r="D53" s="201" t="inlineStr">
        <is>
          <t>김한솔</t>
        </is>
      </c>
      <c r="E53" s="181" t="n">
        <v>46209</v>
      </c>
      <c r="F53" s="181" t="n">
        <v>46213</v>
      </c>
      <c r="G53" s="182">
        <f>NETWORKDAYS(E53,F53)</f>
        <v/>
      </c>
      <c r="H53" s="183" t="n">
        <v>0</v>
      </c>
      <c r="AC53" s="208" t="n"/>
      <c r="AD53" s="208" t="n"/>
      <c r="AE53" s="208" t="n"/>
      <c r="AF53" s="208" t="n"/>
      <c r="AG53" s="208" t="n"/>
    </row>
    <row r="54" ht="29.25" customHeight="1" s="104">
      <c r="B54" s="179" t="inlineStr">
        <is>
          <t>3.16</t>
        </is>
      </c>
      <c r="C54" s="207" t="inlineStr">
        <is>
          <t>맞춤형 솔루션 자동 생성 프롬프팅 적용</t>
        </is>
      </c>
      <c r="D54" s="201" t="inlineStr">
        <is>
          <t>박송원</t>
        </is>
      </c>
      <c r="E54" s="181" t="n">
        <v>46211</v>
      </c>
      <c r="F54" s="181" t="n">
        <v>46212</v>
      </c>
      <c r="G54" s="182">
        <f>NETWORKDAYS(E54,F54)</f>
        <v/>
      </c>
      <c r="H54" s="183" t="n">
        <v>0</v>
      </c>
      <c r="AE54" s="208" t="n"/>
      <c r="AF54" s="208" t="n"/>
    </row>
    <row r="55" ht="29.25" customHeight="1" s="104">
      <c r="B55" s="179" t="inlineStr">
        <is>
          <t>3.17</t>
        </is>
      </c>
      <c r="C55" s="180" t="inlineStr">
        <is>
          <t>[온보딩] 소셜 로그인·온보딩 분기 개발</t>
        </is>
      </c>
      <c r="D55" s="201" t="inlineStr">
        <is>
          <t>이성진</t>
        </is>
      </c>
      <c r="E55" s="181" t="n">
        <v>46211</v>
      </c>
      <c r="F55" s="181" t="n">
        <v>46213</v>
      </c>
      <c r="G55" s="182">
        <f>NETWORKDAYS(E55,F55)</f>
        <v/>
      </c>
      <c r="H55" s="183" t="n">
        <v>0</v>
      </c>
      <c r="AE55" s="208" t="n"/>
      <c r="AF55" s="208" t="n"/>
      <c r="AG55" s="208" t="n"/>
    </row>
    <row r="56" ht="29.25" customHeight="1" s="104">
      <c r="B56" s="179" t="inlineStr">
        <is>
          <t>3.18</t>
        </is>
      </c>
      <c r="C56" s="180" t="inlineStr">
        <is>
          <t>[온보딩] 사용자/페르소나/관심 키워드 저장 개발</t>
        </is>
      </c>
      <c r="D56" s="201" t="inlineStr">
        <is>
          <t>이성진</t>
        </is>
      </c>
      <c r="E56" s="181" t="n">
        <v>46211</v>
      </c>
      <c r="F56" s="181" t="n">
        <v>46217</v>
      </c>
      <c r="G56" s="182">
        <f>NETWORKDAYS(E56,F56)</f>
        <v/>
      </c>
      <c r="H56" s="183" t="n">
        <v>0</v>
      </c>
      <c r="AE56" s="208" t="n"/>
      <c r="AF56" s="208" t="n"/>
      <c r="AG56" s="208" t="n"/>
      <c r="AH56" s="208" t="n"/>
      <c r="AI56" s="208" t="n"/>
    </row>
    <row r="57" ht="15.75" customHeight="1" s="104">
      <c r="B57" s="179" t="inlineStr">
        <is>
          <t>3.19</t>
        </is>
      </c>
      <c r="C57" s="207" t="inlineStr">
        <is>
          <t>마음 리포트 캘린더 퍼블리싱</t>
        </is>
      </c>
      <c r="D57" s="201" t="inlineStr">
        <is>
          <t>박송원</t>
        </is>
      </c>
      <c r="E57" s="181" t="n">
        <v>46213</v>
      </c>
      <c r="F57" s="181" t="n">
        <v>46215</v>
      </c>
      <c r="G57" s="182">
        <f>NETWORKDAYS(E57,F57)</f>
        <v/>
      </c>
      <c r="H57" s="183" t="n">
        <v>0</v>
      </c>
      <c r="AG57" s="208" t="n"/>
    </row>
    <row r="58" ht="29.25" customHeight="1" s="104">
      <c r="B58" s="179" t="inlineStr">
        <is>
          <t>3.20</t>
        </is>
      </c>
      <c r="C58" s="180" t="inlineStr">
        <is>
          <t>LangGraph 3인 캐릭터 이너카운슬 구현</t>
        </is>
      </c>
      <c r="D58" s="201" t="inlineStr">
        <is>
          <t>김한솔</t>
        </is>
      </c>
      <c r="E58" s="181" t="n">
        <v>46214</v>
      </c>
      <c r="F58" s="181" t="n">
        <v>46220</v>
      </c>
      <c r="G58" s="182">
        <f>NETWORKDAYS(E58,F58)</f>
        <v/>
      </c>
      <c r="H58" s="183" t="n">
        <v>0</v>
      </c>
      <c r="AH58" s="208" t="n"/>
      <c r="AI58" s="208" t="n"/>
      <c r="AJ58" s="208" t="n"/>
      <c r="AK58" s="208" t="n"/>
      <c r="AL58" s="208" t="n"/>
    </row>
    <row r="59" ht="15.75" customHeight="1" s="104">
      <c r="B59" s="179" t="inlineStr">
        <is>
          <t>3.21</t>
        </is>
      </c>
      <c r="C59" s="207" t="inlineStr">
        <is>
          <t>캘린더 API 연동 및 이모지 바인딩</t>
        </is>
      </c>
      <c r="D59" s="201" t="inlineStr">
        <is>
          <t>박송원</t>
        </is>
      </c>
      <c r="E59" s="181" t="n">
        <v>46215</v>
      </c>
      <c r="F59" s="181" t="n">
        <v>46217</v>
      </c>
      <c r="G59" s="182">
        <f>NETWORKDAYS(E59,F59)</f>
        <v/>
      </c>
      <c r="H59" s="183" t="n">
        <v>0</v>
      </c>
      <c r="AH59" s="208" t="n"/>
      <c r="AI59" s="208" t="n"/>
    </row>
    <row r="60" ht="29.25" customHeight="1" s="104">
      <c r="B60" s="179" t="inlineStr">
        <is>
          <t>3.22</t>
        </is>
      </c>
      <c r="C60" s="207" t="inlineStr">
        <is>
          <t>관리자 회원 관리 구현(목록·검색·마스킹)</t>
        </is>
      </c>
      <c r="D60" s="201" t="inlineStr">
        <is>
          <t>한재웅</t>
        </is>
      </c>
      <c r="E60" s="181" t="n">
        <v>46216</v>
      </c>
      <c r="F60" s="181" t="n">
        <v>46220</v>
      </c>
      <c r="G60" s="182">
        <f>NETWORKDAYS(E60,F60)</f>
        <v/>
      </c>
      <c r="H60" s="183" t="n">
        <v>0</v>
      </c>
      <c r="AH60" s="208" t="n"/>
      <c r="AI60" s="208" t="n"/>
      <c r="AJ60" s="208" t="n"/>
      <c r="AK60" s="208" t="n"/>
      <c r="AL60" s="208" t="n"/>
    </row>
    <row r="61" ht="29.25" customHeight="1" s="104">
      <c r="B61" s="179" t="inlineStr">
        <is>
          <t>3.23</t>
        </is>
      </c>
      <c r="C61" s="207" t="inlineStr">
        <is>
          <t>계정 상태·탈퇴 처리 및 관리자 작업 이력 기록</t>
        </is>
      </c>
      <c r="D61" s="201" t="inlineStr">
        <is>
          <t>한재웅</t>
        </is>
      </c>
      <c r="E61" s="181" t="n">
        <v>46216</v>
      </c>
      <c r="F61" s="181" t="n">
        <v>46220</v>
      </c>
      <c r="G61" s="182">
        <f>NETWORKDAYS(E61,F61)</f>
        <v/>
      </c>
      <c r="H61" s="183" t="n">
        <v>0</v>
      </c>
      <c r="AH61" s="208" t="n"/>
      <c r="AI61" s="208" t="n"/>
      <c r="AJ61" s="208" t="n"/>
      <c r="AK61" s="208" t="n"/>
      <c r="AL61" s="208" t="n"/>
    </row>
    <row r="62" ht="29.25" customHeight="1" s="104">
      <c r="B62" s="179" t="inlineStr">
        <is>
          <t>3.24</t>
        </is>
      </c>
      <c r="C62" s="180" t="inlineStr">
        <is>
          <t>LLM 개인 분석·추천/리포트 결과 연동</t>
        </is>
      </c>
      <c r="D62" s="201" t="inlineStr">
        <is>
          <t>한재웅</t>
        </is>
      </c>
      <c r="E62" s="181" t="n">
        <v>46216</v>
      </c>
      <c r="F62" s="181" t="n">
        <v>46227</v>
      </c>
      <c r="G62" s="182">
        <f>NETWORKDAYS(E62,F62)</f>
        <v/>
      </c>
      <c r="H62" s="183" t="n">
        <v>0</v>
      </c>
      <c r="AH62" s="208" t="n"/>
      <c r="AI62" s="208" t="n"/>
      <c r="AJ62" s="208" t="n"/>
      <c r="AK62" s="208" t="n"/>
      <c r="AL62" s="208" t="n"/>
      <c r="AM62" s="208" t="n"/>
      <c r="AN62" s="208" t="n"/>
      <c r="AO62" s="208" t="n"/>
      <c r="AP62" s="208" t="n"/>
      <c r="AQ62" s="208" t="n"/>
    </row>
    <row r="63" ht="29.25" customHeight="1" s="104">
      <c r="B63" s="179" t="inlineStr">
        <is>
          <t>3.25</t>
        </is>
      </c>
      <c r="C63" s="180" t="inlineStr">
        <is>
          <t>[온보딩] 메인 화면·캐릭터 인터랙션 개발</t>
        </is>
      </c>
      <c r="D63" s="201" t="inlineStr">
        <is>
          <t>이성진</t>
        </is>
      </c>
      <c r="E63" s="181" t="n">
        <v>46216</v>
      </c>
      <c r="F63" s="181" t="n">
        <v>46219</v>
      </c>
      <c r="G63" s="182">
        <f>NETWORKDAYS(E63,F63)</f>
        <v/>
      </c>
      <c r="H63" s="183" t="n">
        <v>0</v>
      </c>
      <c r="AH63" s="208" t="n"/>
      <c r="AI63" s="208" t="n"/>
      <c r="AJ63" s="208" t="n"/>
      <c r="AK63" s="208" t="n"/>
    </row>
    <row r="64" ht="15.75" customHeight="1" s="104">
      <c r="B64" s="179" t="inlineStr">
        <is>
          <t>3.26</t>
        </is>
      </c>
      <c r="C64" s="207" t="inlineStr">
        <is>
          <t>리포트 상세 페이지 UI 개발</t>
        </is>
      </c>
      <c r="D64" s="201" t="inlineStr">
        <is>
          <t>박송원</t>
        </is>
      </c>
      <c r="E64" s="181" t="n">
        <v>46217</v>
      </c>
      <c r="F64" s="181" t="n">
        <v>46219</v>
      </c>
      <c r="G64" s="182">
        <f>NETWORKDAYS(E64,F64)</f>
        <v/>
      </c>
      <c r="H64" s="183" t="n">
        <v>0</v>
      </c>
      <c r="AI64" s="208" t="n"/>
      <c r="AJ64" s="208" t="n"/>
      <c r="AK64" s="208" t="n"/>
    </row>
    <row r="65" ht="29.25" customHeight="1" s="104">
      <c r="B65" s="179" t="inlineStr">
        <is>
          <t>3.27</t>
        </is>
      </c>
      <c r="C65" s="180" t="inlineStr">
        <is>
          <t>[온보딩] 심리 테스트 게임·결과 그래프 개발</t>
        </is>
      </c>
      <c r="D65" s="201" t="inlineStr">
        <is>
          <t>이성진</t>
        </is>
      </c>
      <c r="E65" s="181" t="n">
        <v>46217</v>
      </c>
      <c r="F65" s="181" t="n">
        <v>46224</v>
      </c>
      <c r="G65" s="182">
        <f>NETWORKDAYS(E65,F65)</f>
        <v/>
      </c>
      <c r="H65" s="183" t="n">
        <v>0</v>
      </c>
      <c r="AI65" s="208" t="n"/>
      <c r="AJ65" s="208" t="n"/>
      <c r="AK65" s="208" t="n"/>
      <c r="AL65" s="208" t="n"/>
      <c r="AM65" s="208" t="n"/>
      <c r="AN65" s="208" t="n"/>
    </row>
    <row r="66" ht="29.25" customHeight="1" s="104">
      <c r="B66" s="179" t="inlineStr">
        <is>
          <t>3.28</t>
        </is>
      </c>
      <c r="C66" s="207" t="inlineStr">
        <is>
          <t>전문센터 연계 팝업 적용(고위험군 배너)</t>
        </is>
      </c>
      <c r="D66" s="201" t="inlineStr">
        <is>
          <t>박송원</t>
        </is>
      </c>
      <c r="E66" s="181" t="n">
        <v>46219</v>
      </c>
      <c r="F66" s="181" t="n">
        <v>46220</v>
      </c>
      <c r="G66" s="182">
        <f>NETWORKDAYS(E66,F66)</f>
        <v/>
      </c>
      <c r="H66" s="183" t="n">
        <v>0</v>
      </c>
      <c r="AK66" s="208" t="n"/>
      <c r="AL66" s="208" t="n"/>
    </row>
    <row r="67" ht="15.75" customHeight="1" s="104">
      <c r="B67" s="179" t="inlineStr">
        <is>
          <t>3.29</t>
        </is>
      </c>
      <c r="C67" s="207" t="inlineStr">
        <is>
          <t>시크릿챗 개인정보 완전 파기 구현</t>
        </is>
      </c>
      <c r="D67" s="201" t="inlineStr">
        <is>
          <t>김한솔</t>
        </is>
      </c>
      <c r="E67" s="181" t="n">
        <v>46219</v>
      </c>
      <c r="F67" s="181" t="n">
        <v>46223</v>
      </c>
      <c r="G67" s="182">
        <f>NETWORKDAYS(E67,F67)</f>
        <v/>
      </c>
      <c r="H67" s="183" t="n">
        <v>0</v>
      </c>
      <c r="AK67" s="208" t="n"/>
      <c r="AL67" s="208" t="n"/>
      <c r="AM67" s="208" t="n"/>
    </row>
    <row r="68" ht="29.25" customHeight="1" s="104">
      <c r="B68" s="179" t="inlineStr">
        <is>
          <t>3.30</t>
        </is>
      </c>
      <c r="C68" s="180" t="inlineStr">
        <is>
          <t>[온보딩] 캘린더 감정/운세 저장 연동 개발</t>
        </is>
      </c>
      <c r="D68" s="201" t="inlineStr">
        <is>
          <t>이성진</t>
        </is>
      </c>
      <c r="E68" s="181" t="n">
        <v>46219</v>
      </c>
      <c r="F68" s="181" t="n">
        <v>46226</v>
      </c>
      <c r="G68" s="182">
        <f>NETWORKDAYS(E68,F68)</f>
        <v/>
      </c>
      <c r="H68" s="183" t="n">
        <v>0</v>
      </c>
      <c r="AK68" s="208" t="n"/>
      <c r="AL68" s="208" t="n"/>
      <c r="AM68" s="208" t="n"/>
      <c r="AN68" s="208" t="n"/>
      <c r="AO68" s="208" t="n"/>
      <c r="AP68" s="208" t="n"/>
    </row>
    <row r="69" ht="15.75" customHeight="1" s="104">
      <c r="B69" s="179" t="inlineStr">
        <is>
          <t>3.31</t>
        </is>
      </c>
      <c r="C69" s="207" t="inlineStr">
        <is>
          <t>안전 이벤트·오류 현황 모니터링 구현</t>
        </is>
      </c>
      <c r="D69" s="201" t="inlineStr">
        <is>
          <t>한재웅</t>
        </is>
      </c>
      <c r="E69" s="181" t="n">
        <v>46220</v>
      </c>
      <c r="F69" s="181" t="n">
        <v>46227</v>
      </c>
      <c r="G69" s="182">
        <f>NETWORKDAYS(E69,F69)</f>
        <v/>
      </c>
      <c r="H69" s="183" t="n">
        <v>0</v>
      </c>
      <c r="AL69" s="208" t="n"/>
      <c r="AM69" s="208" t="n"/>
      <c r="AN69" s="208" t="n"/>
      <c r="AO69" s="208" t="n"/>
      <c r="AP69" s="208" t="n"/>
      <c r="AQ69" s="208" t="n"/>
    </row>
    <row r="70" ht="15.75" customHeight="1" s="104">
      <c r="B70" s="179" t="inlineStr">
        <is>
          <t>3.32</t>
        </is>
      </c>
      <c r="C70" s="180" t="inlineStr">
        <is>
          <t>FE/BE 데이터 통신 통합 및 디버깅</t>
        </is>
      </c>
      <c r="D70" s="201" t="inlineStr">
        <is>
          <t>박송원</t>
        </is>
      </c>
      <c r="E70" s="181" t="n">
        <v>46221</v>
      </c>
      <c r="F70" s="181" t="n">
        <v>46222</v>
      </c>
      <c r="G70" s="182">
        <f>NETWORKDAYS(E70,F70)</f>
        <v/>
      </c>
      <c r="H70" s="183" t="n">
        <v>0</v>
      </c>
    </row>
    <row r="71" ht="15.75" customHeight="1" s="104">
      <c r="B71" s="179" t="inlineStr">
        <is>
          <t>3.34</t>
        </is>
      </c>
      <c r="C71" s="207" t="inlineStr">
        <is>
          <t>리포트 캡처 및 다운로드 기능(html2canvas)</t>
        </is>
      </c>
      <c r="D71" s="201" t="inlineStr">
        <is>
          <t>박송원</t>
        </is>
      </c>
      <c r="E71" s="181" t="n">
        <v>46222</v>
      </c>
      <c r="F71" s="181" t="n">
        <v>46223</v>
      </c>
      <c r="G71" s="182">
        <f>NETWORKDAYS(E72,F72)</f>
        <v/>
      </c>
      <c r="H71" s="183" t="n">
        <v>0</v>
      </c>
      <c r="AM71" s="208" t="n"/>
    </row>
    <row r="72" ht="26.25" customHeight="1" s="104">
      <c r="B72" s="179" t="inlineStr">
        <is>
          <t>3.35</t>
        </is>
      </c>
      <c r="C72" s="207" t="inlineStr">
        <is>
          <t>커뮤니티 신고 내역 확인 및 숨김/반려 처리</t>
        </is>
      </c>
      <c r="D72" s="201" t="inlineStr">
        <is>
          <t>한재웅</t>
        </is>
      </c>
      <c r="E72" s="181" t="n">
        <v>46223</v>
      </c>
      <c r="F72" s="181" t="n">
        <v>46227</v>
      </c>
      <c r="G72" s="182">
        <f>NETWORKDAYS(E73,F73)</f>
        <v/>
      </c>
      <c r="H72" s="183" t="n">
        <v>0</v>
      </c>
      <c r="AM72" s="208" t="n"/>
      <c r="AN72" s="208" t="n"/>
      <c r="AO72" s="208" t="n"/>
      <c r="AP72" s="208" t="n"/>
      <c r="AQ72" s="208" t="n"/>
    </row>
    <row r="73" ht="29.25" customHeight="1" s="104">
      <c r="B73" s="179" t="inlineStr">
        <is>
          <t>3.36</t>
        </is>
      </c>
      <c r="C73" s="207" t="inlineStr">
        <is>
          <t>외부 채널 공유 기능 연동(SNS/카카오톡)</t>
        </is>
      </c>
      <c r="D73" s="201" t="inlineStr">
        <is>
          <t>박송원</t>
        </is>
      </c>
      <c r="E73" s="181" t="n">
        <v>46223</v>
      </c>
      <c r="F73" s="181" t="n">
        <v>46224</v>
      </c>
      <c r="G73" s="182">
        <f>NETWORKDAYS(E74,F74)</f>
        <v/>
      </c>
      <c r="H73" s="183" t="n">
        <v>0</v>
      </c>
      <c r="AM73" s="208" t="n"/>
      <c r="AN73" s="208" t="n"/>
    </row>
    <row r="74" ht="29.25" customHeight="1" s="104">
      <c r="B74" s="179" t="inlineStr">
        <is>
          <t>3.37</t>
        </is>
      </c>
      <c r="C74" s="180" t="inlineStr">
        <is>
          <t>Django 백엔드 API &amp; Neo4j Cypher 통합</t>
        </is>
      </c>
      <c r="D74" s="201" t="inlineStr">
        <is>
          <t>김한솔</t>
        </is>
      </c>
      <c r="E74" s="181" t="n">
        <v>46223</v>
      </c>
      <c r="F74" s="181" t="n">
        <v>46227</v>
      </c>
      <c r="G74" s="182">
        <f>NETWORKDAYS(E75,F75)</f>
        <v/>
      </c>
      <c r="H74" s="183" t="n">
        <v>0</v>
      </c>
      <c r="AM74" s="208" t="n"/>
      <c r="AN74" s="208" t="n"/>
      <c r="AO74" s="208" t="n"/>
      <c r="AP74" s="208" t="n"/>
      <c r="AQ74" s="208" t="n"/>
    </row>
    <row r="75" ht="29.25" customHeight="1" s="104">
      <c r="B75" s="179" t="inlineStr">
        <is>
          <t>3.38</t>
        </is>
      </c>
      <c r="C75" s="180" t="inlineStr">
        <is>
          <t>[온보딩] 운세 계산식/RAG/LLM·카드 운세 개발</t>
        </is>
      </c>
      <c r="D75" s="201" t="inlineStr">
        <is>
          <t>이성진</t>
        </is>
      </c>
      <c r="E75" s="181" t="n">
        <v>46223</v>
      </c>
      <c r="F75" s="181" t="n">
        <v>46227</v>
      </c>
      <c r="G75" s="182">
        <f>NETWORKDAYS(E76,F76)</f>
        <v/>
      </c>
      <c r="H75" s="183" t="n">
        <v>0</v>
      </c>
      <c r="AM75" s="208" t="n"/>
      <c r="AN75" s="208" t="n"/>
      <c r="AO75" s="208" t="n"/>
      <c r="AP75" s="208" t="n"/>
      <c r="AQ75" s="208" t="n"/>
    </row>
    <row r="76" ht="29.25" customHeight="1" s="104">
      <c r="B76" s="179" t="inlineStr">
        <is>
          <t>3.39</t>
        </is>
      </c>
      <c r="C76" s="207" t="inlineStr">
        <is>
          <t>반응형 뷰 크로스 브라우징 확인</t>
        </is>
      </c>
      <c r="D76" s="201" t="inlineStr">
        <is>
          <t>박송원</t>
        </is>
      </c>
      <c r="E76" s="181" t="n">
        <v>46224</v>
      </c>
      <c r="F76" s="181" t="n">
        <v>46225</v>
      </c>
      <c r="G76" s="182">
        <f>NETWORKDAYS(E77,F77)</f>
        <v/>
      </c>
      <c r="H76" s="183" t="n">
        <v>0</v>
      </c>
      <c r="AN76" s="208" t="n"/>
      <c r="AO76" s="208" t="n"/>
    </row>
    <row r="77" ht="15.75" customHeight="1" s="104">
      <c r="B77" s="179" t="inlineStr">
        <is>
          <t>3.40</t>
        </is>
      </c>
      <c r="C77" s="207" t="inlineStr">
        <is>
          <t>운세·결과카드·공지·점검 안내 관리 구현</t>
        </is>
      </c>
      <c r="D77" s="201" t="inlineStr">
        <is>
          <t>한재웅</t>
        </is>
      </c>
      <c r="E77" s="181" t="n">
        <v>46227</v>
      </c>
      <c r="F77" s="181" t="n">
        <v>46234</v>
      </c>
      <c r="G77" s="182">
        <f>NETWORKDAYS(E78,F78)</f>
        <v/>
      </c>
      <c r="H77" s="183" t="n">
        <v>0</v>
      </c>
      <c r="AQ77" s="208" t="n"/>
      <c r="AR77" s="208" t="n"/>
      <c r="AS77" s="208" t="n"/>
      <c r="AT77" s="208" t="n"/>
      <c r="AU77" s="208" t="n"/>
      <c r="AV77" s="208" t="n"/>
    </row>
    <row r="78" ht="29.25" customHeight="1" s="104">
      <c r="B78" s="179" t="inlineStr">
        <is>
          <t>3.41</t>
        </is>
      </c>
      <c r="C78" s="207" t="inlineStr">
        <is>
          <t>반응형 프런트엔드 UI 화면 개발(Markdown 지원)</t>
        </is>
      </c>
      <c r="D78" s="201" t="inlineStr">
        <is>
          <t>김한솔</t>
        </is>
      </c>
      <c r="E78" s="181" t="n">
        <v>46228</v>
      </c>
      <c r="F78" s="181" t="n">
        <v>46233</v>
      </c>
      <c r="G78" s="182">
        <f>NETWORKDAYS(E79,F79)</f>
        <v/>
      </c>
      <c r="H78" s="183" t="n">
        <v>0</v>
      </c>
      <c r="AR78" s="208" t="n"/>
      <c r="AS78" s="208" t="n"/>
      <c r="AT78" s="208" t="n"/>
      <c r="AU78" s="208" t="n"/>
    </row>
    <row r="79" ht="29.25" customHeight="1" s="104">
      <c r="B79" s="179" t="inlineStr">
        <is>
          <t>3.42</t>
        </is>
      </c>
      <c r="C79" s="180" t="inlineStr">
        <is>
          <t>LLM 연동 웹앱 통합 및 최종 QA</t>
        </is>
      </c>
      <c r="D79" s="201" t="inlineStr">
        <is>
          <t>한재웅</t>
        </is>
      </c>
      <c r="E79" s="181" t="n">
        <v>46230</v>
      </c>
      <c r="F79" s="181" t="n">
        <v>46234</v>
      </c>
      <c r="G79" s="182">
        <f>NETWORKDAYS(E80,F80)</f>
        <v/>
      </c>
      <c r="H79" s="183" t="n">
        <v>0</v>
      </c>
      <c r="AR79" s="208" t="n"/>
      <c r="AS79" s="208" t="n"/>
      <c r="AT79" s="208" t="n"/>
      <c r="AU79" s="208" t="n"/>
      <c r="AV79" s="208" t="n"/>
    </row>
    <row r="80" ht="15.75" customHeight="1" s="104">
      <c r="B80" s="203" t="inlineStr">
        <is>
          <t>4</t>
        </is>
      </c>
      <c r="C80" s="204" t="inlineStr">
        <is>
          <t>프로젝트 성과/모니터링</t>
        </is>
      </c>
      <c r="D80" s="209" t="n"/>
      <c r="E80" s="209" t="n"/>
      <c r="F80" s="209" t="n"/>
      <c r="G80" s="209" t="n"/>
      <c r="H80" s="209" t="n"/>
      <c r="I80" s="209" t="n"/>
      <c r="J80" s="209" t="n"/>
      <c r="K80" s="209" t="n"/>
      <c r="L80" s="209" t="n"/>
      <c r="M80" s="209" t="n"/>
      <c r="N80" s="209" t="n"/>
      <c r="O80" s="209" t="n"/>
      <c r="P80" s="209" t="n"/>
      <c r="Q80" s="209" t="n"/>
      <c r="R80" s="209" t="n"/>
      <c r="S80" s="209" t="n"/>
      <c r="T80" s="209" t="n"/>
      <c r="U80" s="209" t="n"/>
      <c r="V80" s="209" t="n"/>
      <c r="W80" s="209" t="n"/>
      <c r="X80" s="209" t="n"/>
      <c r="Y80" s="209" t="n"/>
      <c r="Z80" s="209" t="n"/>
      <c r="AA80" s="209" t="n"/>
      <c r="AB80" s="209" t="n"/>
      <c r="AC80" s="209" t="n"/>
      <c r="AD80" s="209" t="n"/>
      <c r="AE80" s="209" t="n"/>
      <c r="AF80" s="209" t="n"/>
      <c r="AG80" s="209" t="n"/>
      <c r="AH80" s="209" t="n"/>
      <c r="AI80" s="209" t="n"/>
      <c r="AJ80" s="209" t="n"/>
      <c r="AK80" s="209" t="n"/>
      <c r="AL80" s="209" t="n"/>
      <c r="AM80" s="209" t="n"/>
      <c r="AN80" s="209" t="n"/>
      <c r="AO80" s="209" t="n"/>
      <c r="AP80" s="209" t="n"/>
      <c r="AQ80" s="209" t="n"/>
      <c r="AR80" s="209" t="n"/>
      <c r="AS80" s="209" t="n"/>
      <c r="AT80" s="209" t="n"/>
      <c r="AU80" s="209" t="n"/>
      <c r="AV80" s="209" t="n"/>
      <c r="AW80" s="209" t="n"/>
      <c r="AX80" s="209" t="n"/>
      <c r="AY80" s="209" t="n"/>
      <c r="AZ80" s="209" t="n"/>
      <c r="BA80" s="209" t="n"/>
      <c r="BB80" s="209" t="n"/>
      <c r="BC80" s="209" t="n"/>
      <c r="BD80" s="209" t="n"/>
      <c r="BE80" s="209" t="n"/>
      <c r="BF80" s="209" t="n"/>
      <c r="BG80" s="209" t="n"/>
      <c r="BH80" s="209" t="n"/>
      <c r="BI80" s="209" t="n"/>
      <c r="BJ80" s="209" t="n"/>
      <c r="BK80" s="209" t="n"/>
      <c r="BL80" s="209" t="n"/>
      <c r="BM80" s="209" t="n"/>
      <c r="BN80" s="209" t="n"/>
      <c r="BO80" s="209" t="n"/>
      <c r="BP80" s="209" t="n"/>
    </row>
    <row r="81" ht="16.5" customHeight="1" s="104">
      <c r="B81" s="179" t="inlineStr">
        <is>
          <t>4.1</t>
        </is>
      </c>
      <c r="C81" s="180" t="inlineStr">
        <is>
          <t>1차 통합 점검 및 중간 발표 PPT 준비</t>
        </is>
      </c>
      <c r="D81" s="201" t="inlineStr">
        <is>
          <t>한재웅</t>
        </is>
      </c>
      <c r="E81" s="181" t="n">
        <v>46209</v>
      </c>
      <c r="F81" s="181" t="n">
        <v>46213</v>
      </c>
      <c r="G81" s="182">
        <f>NETWORKDAYS(E82,F82)</f>
        <v/>
      </c>
      <c r="H81" s="183" t="n">
        <v>0</v>
      </c>
      <c r="AC81" s="208" t="n"/>
      <c r="AD81" s="208" t="n"/>
      <c r="AE81" s="208" t="n"/>
      <c r="AF81" s="208" t="n"/>
      <c r="AG81" s="208" t="n"/>
    </row>
    <row r="82" ht="29.25" customHeight="1" s="104">
      <c r="B82" s="179" t="inlineStr">
        <is>
          <t>4.2</t>
        </is>
      </c>
      <c r="C82" s="180" t="inlineStr">
        <is>
          <t>1차 주요 대화 경로 시연 준비</t>
        </is>
      </c>
      <c r="D82" s="201" t="inlineStr">
        <is>
          <t>김한솔</t>
        </is>
      </c>
      <c r="E82" s="181" t="n">
        <v>46211</v>
      </c>
      <c r="F82" s="181" t="n">
        <v>46213</v>
      </c>
      <c r="G82" s="182">
        <f>NETWORKDAYS(E83,F83)</f>
        <v/>
      </c>
      <c r="H82" s="183" t="n">
        <v>0</v>
      </c>
      <c r="AE82" s="208" t="n"/>
      <c r="AF82" s="208" t="n"/>
      <c r="AG82" s="208" t="n"/>
    </row>
    <row r="83" ht="15.75" customHeight="1" s="104">
      <c r="B83" s="179" t="inlineStr">
        <is>
          <t>4.3</t>
        </is>
      </c>
      <c r="C83" s="207" t="inlineStr">
        <is>
          <t>시스템 구성도 작성 및 서비스 테스트 계획·결과 보고서</t>
        </is>
      </c>
      <c r="D83" s="201" t="inlineStr">
        <is>
          <t>한재웅</t>
        </is>
      </c>
      <c r="E83" s="181" t="n">
        <v>46223</v>
      </c>
      <c r="F83" s="181" t="n">
        <v>46234</v>
      </c>
      <c r="G83" s="182">
        <f>NETWORKDAYS(E84,F84)</f>
        <v/>
      </c>
      <c r="H83" s="183" t="n">
        <v>0</v>
      </c>
      <c r="AM83" s="208" t="n"/>
      <c r="AN83" s="208" t="n"/>
      <c r="AO83" s="208" t="n"/>
      <c r="AP83" s="208" t="n"/>
      <c r="AQ83" s="208" t="n"/>
      <c r="AR83" s="208" t="n"/>
      <c r="AS83" s="208" t="n"/>
      <c r="AT83" s="208" t="n"/>
      <c r="AU83" s="208" t="n"/>
      <c r="AV83" s="208" t="n"/>
    </row>
    <row r="84" ht="29.25" customHeight="1" s="104">
      <c r="B84" s="179" t="inlineStr">
        <is>
          <t>4.4</t>
        </is>
      </c>
      <c r="C84" s="207" t="inlineStr">
        <is>
          <t>엣지 케이스 및 예외 처리 QA</t>
        </is>
      </c>
      <c r="D84" s="201" t="inlineStr">
        <is>
          <t>박송원</t>
        </is>
      </c>
      <c r="E84" s="181" t="n">
        <v>46226</v>
      </c>
      <c r="F84" s="181" t="n">
        <v>46227</v>
      </c>
      <c r="G84" s="182">
        <f>NETWORKDAYS(E85,F85)</f>
        <v/>
      </c>
      <c r="H84" s="183" t="n">
        <v>0</v>
      </c>
      <c r="AP84" s="208" t="n"/>
      <c r="AQ84" s="208" t="n"/>
    </row>
    <row r="85" ht="15.75" customHeight="1" s="104">
      <c r="B85" s="179" t="inlineStr">
        <is>
          <t>4.5</t>
        </is>
      </c>
      <c r="C85" s="180" t="inlineStr">
        <is>
          <t>ML 분석 결과 객관성 최종 검수</t>
        </is>
      </c>
      <c r="D85" s="201" t="inlineStr">
        <is>
          <t>박송원</t>
        </is>
      </c>
      <c r="E85" s="181" t="n">
        <v>46227</v>
      </c>
      <c r="F85" s="181" t="n">
        <v>46228</v>
      </c>
      <c r="G85" s="182">
        <f>NETWORKDAYS(E86,F86)</f>
        <v/>
      </c>
      <c r="H85" s="183" t="n">
        <v>0</v>
      </c>
      <c r="AQ85" s="208" t="n"/>
    </row>
    <row r="86" ht="15.75" customHeight="1" s="104">
      <c r="B86" s="179" t="inlineStr">
        <is>
          <t>4.6</t>
        </is>
      </c>
      <c r="C86" s="180" t="inlineStr">
        <is>
          <t>[온보딩] API/화면 통합 테스트</t>
        </is>
      </c>
      <c r="D86" s="201" t="inlineStr">
        <is>
          <t>이성진</t>
        </is>
      </c>
      <c r="E86" s="181" t="n">
        <v>46230</v>
      </c>
      <c r="F86" s="181" t="n">
        <v>46233</v>
      </c>
      <c r="G86" s="182">
        <f>NETWORKDAYS(E87,F87)</f>
        <v/>
      </c>
      <c r="H86" s="183" t="n">
        <v>0</v>
      </c>
      <c r="AR86" s="208" t="n"/>
      <c r="AS86" s="208" t="n"/>
      <c r="AT86" s="208" t="n"/>
      <c r="AU86" s="208" t="n"/>
    </row>
    <row r="87" ht="15.75" customHeight="1" s="104">
      <c r="B87" s="179" t="inlineStr">
        <is>
          <t>4.7</t>
        </is>
      </c>
      <c r="C87" s="180" t="inlineStr">
        <is>
          <t>[온보딩] 운세 만료·비로그인 예외·데이터 검증</t>
        </is>
      </c>
      <c r="D87" s="201" t="inlineStr">
        <is>
          <t>이성진</t>
        </is>
      </c>
      <c r="E87" s="181" t="n">
        <v>46231</v>
      </c>
      <c r="F87" s="181" t="n">
        <v>46233</v>
      </c>
      <c r="G87" s="182">
        <f>NETWORKDAYS(E88,F88)</f>
        <v/>
      </c>
      <c r="H87" s="183" t="n">
        <v>0</v>
      </c>
      <c r="AS87" s="208" t="n"/>
      <c r="AT87" s="208" t="n"/>
      <c r="AU87" s="208" t="n"/>
    </row>
    <row r="88" ht="29.25" customHeight="1" s="104">
      <c r="B88" s="179" t="inlineStr">
        <is>
          <t>4.8</t>
        </is>
      </c>
      <c r="C88" s="207" t="inlineStr">
        <is>
          <t>사용자 타당성(Feasibility) 및 설문 분석</t>
        </is>
      </c>
      <c r="D88" s="201" t="inlineStr">
        <is>
          <t>김한솔</t>
        </is>
      </c>
      <c r="E88" s="181" t="n">
        <v>46233</v>
      </c>
      <c r="F88" s="181" t="n">
        <v>46236</v>
      </c>
      <c r="G88" s="182">
        <f>NETWORKDAYS(E89,F89)</f>
        <v/>
      </c>
      <c r="H88" s="183" t="n">
        <v>0</v>
      </c>
      <c r="AU88" s="208" t="n"/>
      <c r="AV88" s="208" t="n"/>
    </row>
    <row r="89" ht="29.25" customHeight="1" s="104">
      <c r="B89" s="179" t="inlineStr">
        <is>
          <t>4.9</t>
        </is>
      </c>
      <c r="C89" s="180" t="inlineStr">
        <is>
          <t>[온보딩] UI/반응형/접근성 QA</t>
        </is>
      </c>
      <c r="D89" s="201" t="inlineStr">
        <is>
          <t>이성진</t>
        </is>
      </c>
      <c r="E89" s="181" t="n">
        <v>46233</v>
      </c>
      <c r="F89" s="181" t="n">
        <v>46237</v>
      </c>
      <c r="G89" s="182">
        <f>NETWORKDAYS(E90,F90)</f>
        <v/>
      </c>
      <c r="H89" s="183" t="n">
        <v>0</v>
      </c>
      <c r="AU89" s="208" t="n"/>
      <c r="AV89" s="208" t="n"/>
      <c r="AW89" s="208" t="n"/>
    </row>
    <row r="90" ht="15.75" customHeight="1" s="104">
      <c r="B90" s="203" t="inlineStr">
        <is>
          <t>5</t>
        </is>
      </c>
      <c r="C90" s="204" t="inlineStr">
        <is>
          <t>프로젝트 종료</t>
        </is>
      </c>
      <c r="D90" s="209" t="n"/>
      <c r="E90" s="209" t="n"/>
      <c r="F90" s="209" t="n"/>
      <c r="G90" s="209" t="n"/>
      <c r="H90" s="209" t="n"/>
      <c r="I90" s="209" t="n"/>
      <c r="J90" s="209" t="n"/>
      <c r="K90" s="209" t="n"/>
      <c r="L90" s="209" t="n"/>
      <c r="M90" s="209" t="n"/>
      <c r="N90" s="209" t="n"/>
      <c r="O90" s="209" t="n"/>
      <c r="P90" s="209" t="n"/>
      <c r="Q90" s="209" t="n"/>
      <c r="R90" s="209" t="n"/>
      <c r="S90" s="209" t="n"/>
      <c r="T90" s="209" t="n"/>
      <c r="U90" s="209" t="n"/>
      <c r="V90" s="209" t="n"/>
      <c r="W90" s="209" t="n"/>
      <c r="X90" s="209" t="n"/>
      <c r="Y90" s="209" t="n"/>
      <c r="Z90" s="209" t="n"/>
      <c r="AA90" s="209" t="n"/>
      <c r="AB90" s="209" t="n"/>
      <c r="AC90" s="209" t="n"/>
      <c r="AD90" s="209" t="n"/>
      <c r="AE90" s="209" t="n"/>
      <c r="AF90" s="209" t="n"/>
      <c r="AG90" s="209" t="n"/>
      <c r="AH90" s="209" t="n"/>
      <c r="AI90" s="209" t="n"/>
      <c r="AJ90" s="209" t="n"/>
      <c r="AK90" s="209" t="n"/>
      <c r="AL90" s="209" t="n"/>
      <c r="AM90" s="209" t="n"/>
      <c r="AN90" s="209" t="n"/>
      <c r="AO90" s="209" t="n"/>
      <c r="AP90" s="209" t="n"/>
      <c r="AQ90" s="209" t="n"/>
      <c r="AR90" s="209" t="n"/>
      <c r="AS90" s="209" t="n"/>
      <c r="AT90" s="209" t="n"/>
      <c r="AU90" s="209" t="n"/>
      <c r="AV90" s="209" t="n"/>
      <c r="AW90" s="209" t="n"/>
      <c r="AX90" s="209" t="n"/>
      <c r="AY90" s="209" t="n"/>
      <c r="AZ90" s="209" t="n"/>
      <c r="BA90" s="209" t="n"/>
      <c r="BB90" s="209" t="n"/>
      <c r="BC90" s="209" t="n"/>
      <c r="BD90" s="209" t="n"/>
      <c r="BE90" s="209" t="n"/>
      <c r="BF90" s="209" t="n"/>
      <c r="BG90" s="209" t="n"/>
      <c r="BH90" s="209" t="n"/>
      <c r="BI90" s="209" t="n"/>
      <c r="BJ90" s="209" t="n"/>
      <c r="BK90" s="209" t="n"/>
      <c r="BL90" s="209" t="n"/>
      <c r="BM90" s="209" t="n"/>
      <c r="BN90" s="209" t="n"/>
      <c r="BO90" s="209" t="n"/>
      <c r="BP90" s="209" t="n"/>
    </row>
    <row r="91" ht="15.75" customHeight="1" s="104">
      <c r="B91" s="179" t="inlineStr">
        <is>
          <t>5.1</t>
        </is>
      </c>
      <c r="C91" s="207" t="inlineStr">
        <is>
          <t>최종 버그 픽스 및 운영 환경 점검</t>
        </is>
      </c>
      <c r="D91" s="201" t="inlineStr">
        <is>
          <t>박송원</t>
        </is>
      </c>
      <c r="E91" s="181" t="n">
        <v>46228</v>
      </c>
      <c r="F91" s="181" t="n">
        <v>46229</v>
      </c>
      <c r="G91" s="182">
        <f>NETWORKDAYS(E92,F92)</f>
        <v/>
      </c>
      <c r="H91" s="183" t="n">
        <v>0</v>
      </c>
    </row>
    <row r="92" ht="15.75" customHeight="1" s="104">
      <c r="B92" s="179" t="inlineStr">
        <is>
          <t>5.2</t>
        </is>
      </c>
      <c r="C92" s="207" t="inlineStr">
        <is>
          <t>최종 배포 (AWS 운영 서버)</t>
        </is>
      </c>
      <c r="D92" s="201" t="inlineStr">
        <is>
          <t>김한솔</t>
        </is>
      </c>
      <c r="E92" s="181" t="n">
        <v>46231</v>
      </c>
      <c r="F92" s="181" t="n">
        <v>46234</v>
      </c>
      <c r="G92" s="182">
        <f>NETWORKDAYS(E93,F93)</f>
        <v/>
      </c>
      <c r="H92" s="183" t="n">
        <v>0</v>
      </c>
      <c r="AS92" s="208" t="n"/>
      <c r="AT92" s="208" t="n"/>
      <c r="AU92" s="208" t="n"/>
      <c r="AV92" s="208" t="n"/>
    </row>
    <row r="93" ht="15.75" customHeight="1" s="104">
      <c r="B93" s="179" t="inlineStr">
        <is>
          <t>5.3</t>
        </is>
      </c>
      <c r="C93" s="207" t="inlineStr">
        <is>
          <t>최종 발표 PPT·시연 시나리오 정리</t>
        </is>
      </c>
      <c r="D93" s="201" t="inlineStr">
        <is>
          <t>한재웅</t>
        </is>
      </c>
      <c r="E93" s="181" t="n">
        <v>46234</v>
      </c>
      <c r="F93" s="181" t="n">
        <v>46237</v>
      </c>
      <c r="G93" s="182">
        <f>NETWORKDAYS(E94,F94)</f>
        <v/>
      </c>
      <c r="H93" s="183" t="n">
        <v>0</v>
      </c>
      <c r="AV93" s="208" t="n"/>
      <c r="AW93" s="208" t="n"/>
    </row>
    <row r="94" ht="15.75" customHeight="1" s="104">
      <c r="B94" s="179" t="inlineStr">
        <is>
          <t>5.4</t>
        </is>
      </c>
      <c r="C94" s="180" t="inlineStr">
        <is>
          <t>[온보딩] 최종 산출물 정리 및 정합성 점검</t>
        </is>
      </c>
      <c r="D94" s="201" t="inlineStr">
        <is>
          <t>이성진</t>
        </is>
      </c>
      <c r="E94" s="181" t="n">
        <v>46234</v>
      </c>
      <c r="F94" s="181" t="n">
        <v>46238</v>
      </c>
      <c r="G94" s="182">
        <f>NETWORKDAYS(E95,F95)</f>
        <v/>
      </c>
      <c r="H94" s="183" t="n">
        <v>0</v>
      </c>
      <c r="AV94" s="208" t="n"/>
      <c r="AW94" s="208" t="n"/>
      <c r="AX94" s="208" t="n"/>
    </row>
    <row r="95" ht="29.25" customHeight="1" s="104">
      <c r="B95" s="179" t="inlineStr">
        <is>
          <t>5.5</t>
        </is>
      </c>
      <c r="C95" s="207" t="inlineStr">
        <is>
          <t>발표 자료(PPTX) 작성</t>
        </is>
      </c>
      <c r="D95" s="201" t="inlineStr">
        <is>
          <t>김한솔</t>
        </is>
      </c>
      <c r="E95" s="181" t="n">
        <v>46235</v>
      </c>
      <c r="F95" s="181" t="n">
        <v>46238</v>
      </c>
      <c r="G95" s="182">
        <f>NETWORKDAYS(E96,F96)</f>
        <v/>
      </c>
      <c r="H95" s="183" t="n">
        <v>0</v>
      </c>
      <c r="AW95" s="208" t="n"/>
      <c r="AX95" s="208" t="n"/>
    </row>
    <row r="96" ht="15.75" customHeight="1" s="104">
      <c r="B96" s="179" t="inlineStr">
        <is>
          <t>5.6</t>
        </is>
      </c>
      <c r="C96" s="207" t="inlineStr">
        <is>
          <t>최종 소스코드 정리 및 제출</t>
        </is>
      </c>
      <c r="D96" s="201" t="inlineStr">
        <is>
          <t>전체</t>
        </is>
      </c>
      <c r="E96" s="181" t="n">
        <v>46237</v>
      </c>
      <c r="F96" s="181" t="n">
        <v>46238</v>
      </c>
      <c r="G96" s="182">
        <f>NETWORKDAYS(E97,F97)</f>
        <v/>
      </c>
      <c r="H96" s="183" t="n">
        <v>0</v>
      </c>
      <c r="AW96" s="208" t="n"/>
      <c r="AX96" s="208" t="n"/>
    </row>
    <row r="97" ht="15.75" customHeight="1" s="104">
      <c r="B97" s="179" t="inlineStr">
        <is>
          <t>5.7</t>
        </is>
      </c>
      <c r="C97" s="207" t="inlineStr">
        <is>
          <t>시연영상 제작 및 최종 발표 대응</t>
        </is>
      </c>
      <c r="D97" s="201" t="inlineStr">
        <is>
          <t>한재웅</t>
        </is>
      </c>
      <c r="E97" s="181" t="n">
        <v>46237</v>
      </c>
      <c r="F97" s="181" t="n">
        <v>46238</v>
      </c>
      <c r="G97" s="182">
        <f>NETWORKDAYS(E98,F98)</f>
        <v/>
      </c>
      <c r="H97" s="183" t="n">
        <v>0</v>
      </c>
      <c r="AW97" s="208" t="n"/>
      <c r="AX97" s="208" t="n"/>
    </row>
    <row r="98" ht="15.75" customHeight="1" s="104">
      <c r="B98" s="179" t="inlineStr">
        <is>
          <t>M1</t>
        </is>
      </c>
      <c r="C98" s="207" t="inlineStr">
        <is>
          <t>중간 발표 PPT</t>
        </is>
      </c>
      <c r="D98" s="201" t="inlineStr">
        <is>
          <t>전체</t>
        </is>
      </c>
      <c r="E98" s="181" t="n">
        <v>46211</v>
      </c>
      <c r="F98" s="181" t="n">
        <v>46211</v>
      </c>
      <c r="G98" s="182" t="n">
        <v>0</v>
      </c>
      <c r="H98" s="183" t="n">
        <v>0</v>
      </c>
      <c r="AE98" s="210" t="inlineStr">
        <is>
          <t>◆</t>
        </is>
      </c>
    </row>
    <row r="99" ht="15.75" customHeight="1" s="104">
      <c r="B99" s="179" t="inlineStr">
        <is>
          <t>M2</t>
        </is>
      </c>
      <c r="C99" s="180" t="inlineStr">
        <is>
          <t>1차 개발 완료</t>
        </is>
      </c>
      <c r="D99" s="201" t="inlineStr">
        <is>
          <t>전체</t>
        </is>
      </c>
      <c r="E99" s="181" t="n">
        <v>46213</v>
      </c>
      <c r="F99" s="181" t="n">
        <v>46213</v>
      </c>
      <c r="G99" s="182" t="n">
        <v>0</v>
      </c>
      <c r="H99" s="183" t="n">
        <v>0</v>
      </c>
      <c r="AG99" s="210" t="inlineStr">
        <is>
          <t>◆</t>
        </is>
      </c>
    </row>
    <row r="100" ht="15.75" customHeight="1" s="104">
      <c r="B100" s="179" t="inlineStr">
        <is>
          <t>M3</t>
        </is>
      </c>
      <c r="C100" s="207" t="inlineStr">
        <is>
          <t>최종 발표 PPT</t>
        </is>
      </c>
      <c r="D100" s="201" t="inlineStr">
        <is>
          <t>전체</t>
        </is>
      </c>
      <c r="E100" s="181" t="n">
        <v>46234</v>
      </c>
      <c r="F100" s="181" t="n">
        <v>46234</v>
      </c>
      <c r="G100" s="182" t="n">
        <v>0</v>
      </c>
      <c r="H100" s="183" t="n">
        <v>0</v>
      </c>
      <c r="AV100" s="210" t="inlineStr">
        <is>
          <t>◆</t>
        </is>
      </c>
    </row>
    <row r="101" ht="15.75" customHeight="1" s="104">
      <c r="B101" s="179" t="inlineStr">
        <is>
          <t>M4</t>
        </is>
      </c>
      <c r="C101" s="207" t="inlineStr">
        <is>
          <t>최종 발표·소스·영상 제출</t>
        </is>
      </c>
      <c r="D101" s="201" t="inlineStr">
        <is>
          <t>전체</t>
        </is>
      </c>
      <c r="E101" s="181" t="n">
        <v>46238</v>
      </c>
      <c r="F101" s="181" t="n">
        <v>46238</v>
      </c>
      <c r="G101" s="182" t="n">
        <v>0</v>
      </c>
      <c r="H101" s="183" t="n">
        <v>0</v>
      </c>
      <c r="AX101" s="210" t="inlineStr">
        <is>
          <t>◆</t>
        </is>
      </c>
    </row>
    <row r="102" ht="15.75" customHeight="1" s="104"/>
  </sheetData>
  <mergeCells count="34">
    <mergeCell ref="I9:M9"/>
    <mergeCell ref="B2:G2"/>
    <mergeCell ref="I5:O5"/>
    <mergeCell ref="BB8:BP8"/>
    <mergeCell ref="I4:O4"/>
    <mergeCell ref="D8:D10"/>
    <mergeCell ref="D5:G5"/>
    <mergeCell ref="O2:AG2"/>
    <mergeCell ref="AR9:AV9"/>
    <mergeCell ref="BL9:BP9"/>
    <mergeCell ref="AM9:AQ9"/>
    <mergeCell ref="P4:AB4"/>
    <mergeCell ref="I8:W8"/>
    <mergeCell ref="G8:G10"/>
    <mergeCell ref="H8:H10"/>
    <mergeCell ref="AW9:BA9"/>
    <mergeCell ref="AH9:AL9"/>
    <mergeCell ref="BG9:BK9"/>
    <mergeCell ref="E8:E10"/>
    <mergeCell ref="P5:AA5"/>
    <mergeCell ref="B8:B10"/>
    <mergeCell ref="AC9:AG9"/>
    <mergeCell ref="S9:W9"/>
    <mergeCell ref="AM8:BA8"/>
    <mergeCell ref="BB9:BF9"/>
    <mergeCell ref="N9:R9"/>
    <mergeCell ref="I2:N2"/>
    <mergeCell ref="B5:C5"/>
    <mergeCell ref="X9:AB9"/>
    <mergeCell ref="C8:C10"/>
    <mergeCell ref="X8:AL8"/>
    <mergeCell ref="B4:C4"/>
    <mergeCell ref="F8:F10"/>
    <mergeCell ref="D4:G4"/>
  </mergeCells>
  <conditionalFormatting sqref="H12:H18 H20:H35">
    <cfRule type="colorScale" priority="2">
      <colorScale>
        <cfvo type="min" val="0"/>
        <cfvo type="max" val="0"/>
        <color rgb="FFFFFFFF"/>
        <color rgb="FF57BB8A"/>
      </colorScale>
    </cfRule>
    <cfRule type="colorScale" priority="3">
      <colorScale>
        <cfvo type="min" val="0"/>
        <cfvo type="max" val="0"/>
        <color rgb="FF57BB8A"/>
        <color rgb="FFFFFFFF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2026-06-21T07:28:38Z</dcterms:created>
  <dcterms:modified xsi:type="dcterms:W3CDTF">2026-06-21T07:41:33Z</dcterms:modified>
  <cp:revision>0</cp:revision>
</cp:coreProperties>
</file>